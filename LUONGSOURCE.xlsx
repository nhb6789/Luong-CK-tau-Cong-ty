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\1 UNC LUONG\NAM 2026\TAU CONG TY T03 2026\"/>
    </mc:Choice>
  </mc:AlternateContent>
  <xr:revisionPtr revIDLastSave="0" documentId="13_ncr:1_{2C3DBE85-A349-41A0-8FD3-645765F5DD4B}" xr6:coauthVersionLast="47" xr6:coauthVersionMax="47" xr10:uidLastSave="{00000000-0000-0000-0000-000000000000}"/>
  <bookViews>
    <workbookView xWindow="0" yWindow="360" windowWidth="23256" windowHeight="12456" tabRatio="980" activeTab="6" xr2:uid="{00000000-000D-0000-FFFF-FFFF00000000}"/>
  </bookViews>
  <sheets>
    <sheet name="Bright" sheetId="3" r:id="rId1"/>
    <sheet name="Harmony" sheetId="88" r:id="rId2"/>
    <sheet name="Express" sheetId="35" r:id="rId3"/>
    <sheet name="T.Thuy" sheetId="8" r:id="rId4"/>
    <sheet name="Aqua" sheetId="11" r:id="rId5"/>
    <sheet name="T.tap" sheetId="10" r:id="rId6"/>
    <sheet name="CK" sheetId="90" r:id="rId7"/>
  </sheets>
  <externalReferences>
    <externalReference r:id="rId8"/>
    <externalReference r:id="rId9"/>
    <externalReference r:id="rId10"/>
    <externalReference r:id="rId11"/>
  </externalReferences>
  <definedNames>
    <definedName name="_xlnm.Print_Titles" localSheetId="4">Aqua!$4:$5</definedName>
    <definedName name="_xlnm.Print_Titles" localSheetId="0">Bright!$4:$5</definedName>
    <definedName name="_xlnm.Print_Titles" localSheetId="2">Express!$4:$5</definedName>
    <definedName name="_xlnm.Print_Titles" localSheetId="3">T.Thuy!$4:$5</definedName>
  </definedNames>
  <calcPr calcId="191029"/>
</workbook>
</file>

<file path=xl/calcChain.xml><?xml version="1.0" encoding="utf-8"?>
<calcChain xmlns="http://schemas.openxmlformats.org/spreadsheetml/2006/main">
  <c r="K320" i="90" l="1"/>
  <c r="K319" i="90"/>
  <c r="K318" i="90"/>
  <c r="K317" i="90"/>
  <c r="K316" i="90"/>
  <c r="K315" i="90"/>
  <c r="K314" i="90"/>
  <c r="K313" i="90"/>
  <c r="K312" i="90"/>
  <c r="K311" i="90"/>
  <c r="K310" i="90"/>
  <c r="K309" i="90"/>
  <c r="K308" i="90"/>
  <c r="K307" i="90"/>
  <c r="K306" i="90"/>
  <c r="K305" i="90"/>
  <c r="K304" i="90"/>
  <c r="K303" i="90"/>
  <c r="K302" i="90"/>
  <c r="K301" i="90"/>
  <c r="K300" i="90"/>
  <c r="K299" i="90"/>
  <c r="K298" i="90"/>
  <c r="K297" i="90"/>
  <c r="K296" i="90"/>
  <c r="K295" i="90"/>
  <c r="K294" i="90"/>
  <c r="K293" i="90"/>
  <c r="K292" i="90"/>
  <c r="K247" i="90"/>
  <c r="K246" i="90"/>
  <c r="K245" i="90"/>
  <c r="K244" i="90"/>
  <c r="K243" i="90"/>
  <c r="K242" i="90"/>
  <c r="K241" i="90"/>
  <c r="K240" i="90"/>
  <c r="K239" i="90"/>
  <c r="K238" i="90"/>
  <c r="K237" i="90"/>
  <c r="K236" i="90"/>
  <c r="K235" i="90"/>
  <c r="K234" i="90"/>
  <c r="K233" i="90"/>
  <c r="K232" i="90"/>
  <c r="K231" i="90"/>
  <c r="K230" i="90"/>
  <c r="K229" i="90"/>
  <c r="K228" i="90"/>
  <c r="K227" i="90"/>
  <c r="K226" i="90"/>
  <c r="K225" i="90"/>
  <c r="K177" i="90"/>
  <c r="K176" i="90"/>
  <c r="K175" i="90"/>
  <c r="K174" i="90"/>
  <c r="K173" i="90"/>
  <c r="K172" i="90"/>
  <c r="K171" i="90"/>
  <c r="K170" i="90"/>
  <c r="K169" i="90"/>
  <c r="K168" i="90"/>
  <c r="K167" i="90"/>
  <c r="K166" i="90"/>
  <c r="K165" i="90"/>
  <c r="K164" i="90"/>
  <c r="K163" i="90"/>
  <c r="K162" i="90"/>
  <c r="K161" i="90"/>
  <c r="K160" i="90"/>
  <c r="K159" i="90"/>
  <c r="K158" i="90"/>
  <c r="K157" i="90"/>
  <c r="J157" i="90"/>
  <c r="J158" i="90"/>
  <c r="J159" i="90"/>
  <c r="J160" i="90"/>
  <c r="J161" i="90"/>
  <c r="J162" i="90"/>
  <c r="J163" i="90"/>
  <c r="J164" i="90"/>
  <c r="J165" i="90"/>
  <c r="J166" i="90"/>
  <c r="J167" i="90"/>
  <c r="J168" i="90"/>
  <c r="J169" i="90"/>
  <c r="J170" i="90"/>
  <c r="J171" i="90"/>
  <c r="J172" i="90"/>
  <c r="J173" i="90"/>
  <c r="J174" i="90"/>
  <c r="J175" i="90"/>
  <c r="J176" i="90"/>
  <c r="J177" i="90"/>
  <c r="J110" i="90"/>
  <c r="J109" i="90"/>
  <c r="J108" i="90"/>
  <c r="J107" i="90"/>
  <c r="J106" i="90"/>
  <c r="J105" i="90"/>
  <c r="J104" i="90"/>
  <c r="J103" i="90"/>
  <c r="J102" i="90"/>
  <c r="J101" i="90"/>
  <c r="J100" i="90"/>
  <c r="J99" i="90"/>
  <c r="J98" i="90"/>
  <c r="J97" i="90"/>
  <c r="J96" i="90"/>
  <c r="J95" i="90"/>
  <c r="J94" i="90"/>
  <c r="J93" i="90"/>
  <c r="J92" i="90"/>
  <c r="J45" i="90"/>
  <c r="J44" i="90"/>
  <c r="J43" i="90"/>
  <c r="J42" i="90"/>
  <c r="J41" i="90"/>
  <c r="J40" i="90"/>
  <c r="J39" i="90"/>
  <c r="J38" i="90"/>
  <c r="J37" i="90"/>
  <c r="J36" i="90"/>
  <c r="J35" i="90"/>
  <c r="J34" i="90"/>
  <c r="J33" i="90"/>
  <c r="J32" i="90"/>
  <c r="J31" i="90"/>
  <c r="J30" i="90"/>
  <c r="J29" i="90"/>
  <c r="J28" i="90"/>
  <c r="J27" i="90"/>
  <c r="J26" i="90"/>
  <c r="J25" i="90"/>
  <c r="J24" i="90"/>
  <c r="AA25" i="88"/>
  <c r="AA24" i="88"/>
  <c r="AA23" i="88"/>
  <c r="AA22" i="88"/>
  <c r="AA21" i="88"/>
  <c r="AA20" i="88"/>
  <c r="AA19" i="88"/>
  <c r="AA18" i="88"/>
  <c r="AA17" i="88"/>
  <c r="AA16" i="88"/>
  <c r="AA15" i="88"/>
  <c r="AA14" i="88"/>
  <c r="AA13" i="88"/>
  <c r="AA12" i="88"/>
  <c r="AA11" i="88"/>
  <c r="AA10" i="88"/>
  <c r="AA9" i="88"/>
  <c r="AA8" i="88"/>
  <c r="AA7" i="88"/>
  <c r="AA6" i="88"/>
  <c r="E313" i="90"/>
  <c r="E301" i="90"/>
  <c r="E297" i="90"/>
  <c r="E293" i="90"/>
  <c r="T25" i="11"/>
  <c r="P7" i="11" l="1"/>
  <c r="N7" i="11"/>
  <c r="L7" i="11"/>
  <c r="J7" i="11"/>
  <c r="H7" i="11"/>
  <c r="T28" i="11"/>
  <c r="S28" i="11"/>
  <c r="R28" i="11"/>
  <c r="N28" i="11"/>
  <c r="L28" i="11"/>
  <c r="J28" i="11"/>
  <c r="H28" i="11"/>
  <c r="N17" i="11"/>
  <c r="L17" i="11"/>
  <c r="J17" i="11"/>
  <c r="H17" i="11"/>
  <c r="Q17" i="11" s="1"/>
  <c r="N12" i="11"/>
  <c r="L12" i="11"/>
  <c r="J12" i="11"/>
  <c r="H12" i="11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R28" i="8"/>
  <c r="T7" i="8"/>
  <c r="U7" i="8"/>
  <c r="T8" i="8"/>
  <c r="U8" i="8"/>
  <c r="T9" i="8"/>
  <c r="U9" i="8"/>
  <c r="T10" i="8"/>
  <c r="U10" i="8"/>
  <c r="T11" i="8"/>
  <c r="U11" i="8"/>
  <c r="T12" i="8"/>
  <c r="U12" i="8"/>
  <c r="T13" i="8"/>
  <c r="U13" i="8"/>
  <c r="T14" i="8"/>
  <c r="U14" i="8"/>
  <c r="T15" i="8"/>
  <c r="U15" i="8"/>
  <c r="T16" i="8"/>
  <c r="U16" i="8"/>
  <c r="T17" i="8"/>
  <c r="U17" i="8"/>
  <c r="T18" i="8"/>
  <c r="U18" i="8"/>
  <c r="T19" i="8"/>
  <c r="U19" i="8"/>
  <c r="T20" i="8"/>
  <c r="T21" i="8"/>
  <c r="U21" i="8"/>
  <c r="T22" i="8"/>
  <c r="U22" i="8"/>
  <c r="T23" i="8"/>
  <c r="U23" i="8"/>
  <c r="T24" i="8"/>
  <c r="U24" i="8"/>
  <c r="T25" i="8"/>
  <c r="U25" i="8"/>
  <c r="T26" i="8"/>
  <c r="U26" i="8"/>
  <c r="T27" i="8"/>
  <c r="U27" i="8"/>
  <c r="T28" i="8"/>
  <c r="U28" i="8"/>
  <c r="U6" i="8"/>
  <c r="T6" i="8"/>
  <c r="R7" i="35"/>
  <c r="S7" i="35"/>
  <c r="R8" i="35"/>
  <c r="S8" i="35"/>
  <c r="R9" i="35"/>
  <c r="S9" i="35"/>
  <c r="R10" i="35"/>
  <c r="S10" i="35"/>
  <c r="R11" i="35"/>
  <c r="S11" i="35"/>
  <c r="R12" i="35"/>
  <c r="S12" i="35"/>
  <c r="R13" i="35"/>
  <c r="S13" i="35"/>
  <c r="R14" i="35"/>
  <c r="S14" i="35"/>
  <c r="R15" i="35"/>
  <c r="S15" i="35"/>
  <c r="R16" i="35"/>
  <c r="S16" i="35"/>
  <c r="R17" i="35"/>
  <c r="S17" i="35"/>
  <c r="R18" i="35"/>
  <c r="S18" i="35"/>
  <c r="R19" i="35"/>
  <c r="S19" i="35"/>
  <c r="R20" i="35"/>
  <c r="S20" i="35"/>
  <c r="R21" i="35"/>
  <c r="S21" i="35"/>
  <c r="R22" i="35"/>
  <c r="S22" i="35"/>
  <c r="R23" i="35"/>
  <c r="S23" i="35"/>
  <c r="R24" i="35"/>
  <c r="S24" i="35"/>
  <c r="R25" i="35"/>
  <c r="S25" i="35"/>
  <c r="R26" i="35"/>
  <c r="S26" i="35"/>
  <c r="S6" i="35"/>
  <c r="R6" i="35"/>
  <c r="T7" i="88"/>
  <c r="U7" i="88"/>
  <c r="T8" i="88"/>
  <c r="U8" i="88"/>
  <c r="T9" i="88"/>
  <c r="U9" i="88"/>
  <c r="T10" i="88"/>
  <c r="U10" i="88"/>
  <c r="T11" i="88"/>
  <c r="U11" i="88"/>
  <c r="T12" i="88"/>
  <c r="U12" i="88"/>
  <c r="T13" i="88"/>
  <c r="U13" i="88"/>
  <c r="T14" i="88"/>
  <c r="U14" i="88"/>
  <c r="T15" i="88"/>
  <c r="U15" i="88"/>
  <c r="T16" i="88"/>
  <c r="U16" i="88"/>
  <c r="T17" i="88"/>
  <c r="U17" i="88"/>
  <c r="T18" i="88"/>
  <c r="U18" i="88"/>
  <c r="T19" i="88"/>
  <c r="U19" i="88"/>
  <c r="T20" i="88"/>
  <c r="U20" i="88"/>
  <c r="T21" i="88"/>
  <c r="U21" i="88"/>
  <c r="T22" i="88"/>
  <c r="U22" i="88"/>
  <c r="T23" i="88"/>
  <c r="U23" i="88"/>
  <c r="T24" i="88"/>
  <c r="U24" i="88"/>
  <c r="U6" i="88"/>
  <c r="T6" i="88"/>
  <c r="R7" i="3"/>
  <c r="S7" i="3"/>
  <c r="R8" i="3"/>
  <c r="S8" i="3"/>
  <c r="R9" i="3"/>
  <c r="S9" i="3"/>
  <c r="R10" i="3"/>
  <c r="S10" i="3"/>
  <c r="R11" i="3"/>
  <c r="S11" i="3"/>
  <c r="R12" i="3"/>
  <c r="S12" i="3"/>
  <c r="R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S6" i="3"/>
  <c r="R6" i="3"/>
  <c r="Q7" i="11" l="1"/>
  <c r="V7" i="11"/>
  <c r="Q28" i="11"/>
  <c r="V28" i="11" s="1"/>
  <c r="V17" i="11"/>
  <c r="Q12" i="11"/>
  <c r="V12" i="11" s="1"/>
  <c r="Q156" i="10"/>
  <c r="P156" i="10"/>
  <c r="R156" i="10"/>
  <c r="N34" i="11"/>
  <c r="L34" i="11"/>
  <c r="J34" i="11"/>
  <c r="H34" i="11"/>
  <c r="N32" i="11"/>
  <c r="L32" i="11"/>
  <c r="J32" i="11"/>
  <c r="H32" i="11"/>
  <c r="T14" i="11"/>
  <c r="S14" i="11"/>
  <c r="R14" i="11"/>
  <c r="N14" i="11"/>
  <c r="L14" i="11"/>
  <c r="J14" i="11"/>
  <c r="H14" i="11"/>
  <c r="T11" i="11"/>
  <c r="S11" i="11"/>
  <c r="R11" i="11"/>
  <c r="N11" i="11"/>
  <c r="L11" i="11"/>
  <c r="J11" i="11"/>
  <c r="H11" i="11"/>
  <c r="T9" i="11"/>
  <c r="S9" i="11"/>
  <c r="R9" i="11"/>
  <c r="N9" i="11"/>
  <c r="L9" i="11"/>
  <c r="J9" i="11"/>
  <c r="H9" i="11"/>
  <c r="R15" i="11"/>
  <c r="S15" i="11"/>
  <c r="R16" i="11"/>
  <c r="S16" i="11"/>
  <c r="R18" i="11"/>
  <c r="S18" i="11"/>
  <c r="R19" i="11"/>
  <c r="S19" i="11"/>
  <c r="R20" i="11"/>
  <c r="S20" i="11"/>
  <c r="R21" i="11"/>
  <c r="S21" i="11"/>
  <c r="R25" i="11"/>
  <c r="S25" i="11"/>
  <c r="R22" i="11"/>
  <c r="S22" i="11"/>
  <c r="R23" i="11"/>
  <c r="S23" i="11"/>
  <c r="R27" i="11"/>
  <c r="S27" i="11"/>
  <c r="R30" i="11"/>
  <c r="S30" i="11"/>
  <c r="R31" i="11"/>
  <c r="S31" i="11"/>
  <c r="R33" i="11"/>
  <c r="S33" i="11"/>
  <c r="R35" i="11"/>
  <c r="S35" i="11"/>
  <c r="S6" i="11"/>
  <c r="R6" i="11"/>
  <c r="P10" i="11"/>
  <c r="N25" i="11"/>
  <c r="L25" i="11"/>
  <c r="J25" i="11"/>
  <c r="H25" i="11"/>
  <c r="N10" i="11"/>
  <c r="L10" i="11"/>
  <c r="J10" i="11"/>
  <c r="H10" i="11"/>
  <c r="V17" i="88"/>
  <c r="R17" i="88"/>
  <c r="P17" i="88"/>
  <c r="N17" i="88"/>
  <c r="L17" i="88"/>
  <c r="J17" i="88"/>
  <c r="H17" i="88"/>
  <c r="V8" i="88"/>
  <c r="R8" i="88"/>
  <c r="P8" i="88"/>
  <c r="N8" i="88"/>
  <c r="L8" i="88"/>
  <c r="J8" i="88"/>
  <c r="H8" i="88"/>
  <c r="Q34" i="11" l="1"/>
  <c r="V34" i="11" s="1"/>
  <c r="Q32" i="11"/>
  <c r="V32" i="11" s="1"/>
  <c r="Q14" i="11"/>
  <c r="V14" i="11" s="1"/>
  <c r="E298" i="90" s="1"/>
  <c r="Q11" i="11"/>
  <c r="V11" i="11" s="1"/>
  <c r="Q9" i="11"/>
  <c r="V9" i="11" s="1"/>
  <c r="Q25" i="11"/>
  <c r="V25" i="11" s="1"/>
  <c r="Q10" i="11"/>
  <c r="V10" i="11" s="1"/>
  <c r="S17" i="88"/>
  <c r="X17" i="88" s="1"/>
  <c r="E103" i="90" s="1"/>
  <c r="S8" i="88"/>
  <c r="X8" i="88" s="1"/>
  <c r="E94" i="90" s="1"/>
  <c r="AT27" i="35"/>
  <c r="AR27" i="35"/>
  <c r="AQ27" i="35"/>
  <c r="AC27" i="35"/>
  <c r="AO26" i="35"/>
  <c r="AM26" i="35"/>
  <c r="AK26" i="35"/>
  <c r="AI26" i="35"/>
  <c r="AG26" i="35"/>
  <c r="AE26" i="35"/>
  <c r="AO25" i="35"/>
  <c r="AM25" i="35"/>
  <c r="AK25" i="35"/>
  <c r="AI25" i="35"/>
  <c r="AG25" i="35"/>
  <c r="AE25" i="35"/>
  <c r="AO24" i="35"/>
  <c r="AM24" i="35"/>
  <c r="AK24" i="35"/>
  <c r="AI24" i="35"/>
  <c r="AG24" i="35"/>
  <c r="AE24" i="35"/>
  <c r="AO23" i="35"/>
  <c r="AM23" i="35"/>
  <c r="AK23" i="35"/>
  <c r="AI23" i="35"/>
  <c r="AG23" i="35"/>
  <c r="AE23" i="35"/>
  <c r="AO22" i="35"/>
  <c r="AM22" i="35"/>
  <c r="AK22" i="35"/>
  <c r="AI22" i="35"/>
  <c r="AG22" i="35"/>
  <c r="AE22" i="35"/>
  <c r="AO21" i="35"/>
  <c r="AM21" i="35"/>
  <c r="AK21" i="35"/>
  <c r="AI21" i="35"/>
  <c r="AG21" i="35"/>
  <c r="AE21" i="35"/>
  <c r="AO20" i="35"/>
  <c r="AM20" i="35"/>
  <c r="AK20" i="35"/>
  <c r="AI20" i="35"/>
  <c r="AG20" i="35"/>
  <c r="AE20" i="35"/>
  <c r="AO19" i="35"/>
  <c r="AM19" i="35"/>
  <c r="AK19" i="35"/>
  <c r="AI19" i="35"/>
  <c r="AG19" i="35"/>
  <c r="AE19" i="35"/>
  <c r="AO18" i="35"/>
  <c r="AM18" i="35"/>
  <c r="AK18" i="35"/>
  <c r="AI18" i="35"/>
  <c r="AG18" i="35"/>
  <c r="AE18" i="35"/>
  <c r="AO17" i="35"/>
  <c r="AM17" i="35"/>
  <c r="AK17" i="35"/>
  <c r="AI17" i="35"/>
  <c r="AG17" i="35"/>
  <c r="AE17" i="35"/>
  <c r="AO16" i="35"/>
  <c r="AM16" i="35"/>
  <c r="AK16" i="35"/>
  <c r="AI16" i="35"/>
  <c r="AG16" i="35"/>
  <c r="AE16" i="35"/>
  <c r="AO15" i="35"/>
  <c r="AM15" i="35"/>
  <c r="AK15" i="35"/>
  <c r="AI15" i="35"/>
  <c r="AG15" i="35"/>
  <c r="AE15" i="35"/>
  <c r="AO14" i="35"/>
  <c r="AM14" i="35"/>
  <c r="AK14" i="35"/>
  <c r="AI14" i="35"/>
  <c r="AG14" i="35"/>
  <c r="AE14" i="35"/>
  <c r="AO13" i="35"/>
  <c r="AM13" i="35"/>
  <c r="AK13" i="35"/>
  <c r="AI13" i="35"/>
  <c r="AG13" i="35"/>
  <c r="AE13" i="35"/>
  <c r="AP13" i="35" s="1"/>
  <c r="AO12" i="35"/>
  <c r="AM12" i="35"/>
  <c r="AK12" i="35"/>
  <c r="AI12" i="35"/>
  <c r="AG12" i="35"/>
  <c r="AE12" i="35"/>
  <c r="AO11" i="35"/>
  <c r="AM11" i="35"/>
  <c r="AK11" i="35"/>
  <c r="AI11" i="35"/>
  <c r="AG11" i="35"/>
  <c r="AE11" i="35"/>
  <c r="AO10" i="35"/>
  <c r="AM10" i="35"/>
  <c r="AK10" i="35"/>
  <c r="AI10" i="35"/>
  <c r="AG10" i="35"/>
  <c r="AE10" i="35"/>
  <c r="AO9" i="35"/>
  <c r="AM9" i="35"/>
  <c r="AK9" i="35"/>
  <c r="AI9" i="35"/>
  <c r="AG9" i="35"/>
  <c r="AE9" i="35"/>
  <c r="AO8" i="35"/>
  <c r="AM8" i="35"/>
  <c r="AK8" i="35"/>
  <c r="AI8" i="35"/>
  <c r="AG8" i="35"/>
  <c r="AE8" i="35"/>
  <c r="AO7" i="35"/>
  <c r="AM7" i="35"/>
  <c r="AK7" i="35"/>
  <c r="AI7" i="35"/>
  <c r="AG7" i="35"/>
  <c r="AE7" i="35"/>
  <c r="AO6" i="35"/>
  <c r="AM6" i="35"/>
  <c r="AK6" i="35"/>
  <c r="AI6" i="35"/>
  <c r="AG6" i="35"/>
  <c r="AE6" i="35"/>
  <c r="E295" i="90" l="1"/>
  <c r="AP23" i="35"/>
  <c r="AU23" i="35" s="1"/>
  <c r="AP21" i="35"/>
  <c r="AP11" i="35"/>
  <c r="AU11" i="35" s="1"/>
  <c r="AP14" i="35"/>
  <c r="AU14" i="35" s="1"/>
  <c r="AP18" i="35"/>
  <c r="AU18" i="35" s="1"/>
  <c r="AP22" i="35"/>
  <c r="AU22" i="35" s="1"/>
  <c r="AP10" i="35"/>
  <c r="AU10" i="35" s="1"/>
  <c r="AG27" i="35"/>
  <c r="AU13" i="35"/>
  <c r="AU21" i="35"/>
  <c r="AM27" i="35"/>
  <c r="AI27" i="35"/>
  <c r="AP19" i="35"/>
  <c r="AU19" i="35" s="1"/>
  <c r="AO27" i="35"/>
  <c r="AS27" i="35"/>
  <c r="AP8" i="35"/>
  <c r="AU8" i="35" s="1"/>
  <c r="AP17" i="35"/>
  <c r="AU17" i="35" s="1"/>
  <c r="AP26" i="35"/>
  <c r="AU26" i="35" s="1"/>
  <c r="AP7" i="35"/>
  <c r="AU7" i="35" s="1"/>
  <c r="AP12" i="35"/>
  <c r="AU12" i="35" s="1"/>
  <c r="AP16" i="35"/>
  <c r="AU16" i="35" s="1"/>
  <c r="AP25" i="35"/>
  <c r="AU25" i="35" s="1"/>
  <c r="AK27" i="35"/>
  <c r="AP9" i="35"/>
  <c r="AU9" i="35" s="1"/>
  <c r="AE27" i="35"/>
  <c r="AP15" i="35"/>
  <c r="AU15" i="35" s="1"/>
  <c r="AP20" i="35"/>
  <c r="AU20" i="35" s="1"/>
  <c r="AP24" i="35"/>
  <c r="AU24" i="35" s="1"/>
  <c r="AP6" i="35"/>
  <c r="AU6" i="35" l="1"/>
  <c r="AP27" i="35"/>
  <c r="AU27" i="35" l="1"/>
  <c r="T21" i="3"/>
  <c r="T12" i="3"/>
  <c r="T9" i="3"/>
  <c r="F27" i="35" l="1"/>
  <c r="S27" i="35"/>
  <c r="U27" i="35"/>
  <c r="P26" i="35"/>
  <c r="N26" i="35"/>
  <c r="L26" i="35"/>
  <c r="J26" i="35"/>
  <c r="H26" i="35"/>
  <c r="P25" i="35"/>
  <c r="N25" i="35"/>
  <c r="L25" i="35"/>
  <c r="J25" i="35"/>
  <c r="H25" i="35"/>
  <c r="P24" i="35"/>
  <c r="N24" i="35"/>
  <c r="L24" i="35"/>
  <c r="J24" i="35"/>
  <c r="H24" i="35"/>
  <c r="P23" i="35"/>
  <c r="N23" i="35"/>
  <c r="L23" i="35"/>
  <c r="J23" i="35"/>
  <c r="H23" i="35"/>
  <c r="P22" i="35"/>
  <c r="N22" i="35"/>
  <c r="L22" i="35"/>
  <c r="J22" i="35"/>
  <c r="H22" i="35"/>
  <c r="P21" i="35"/>
  <c r="N21" i="35"/>
  <c r="L21" i="35"/>
  <c r="J21" i="35"/>
  <c r="H21" i="35"/>
  <c r="P20" i="35"/>
  <c r="N20" i="35"/>
  <c r="L20" i="35"/>
  <c r="J20" i="35"/>
  <c r="H20" i="35"/>
  <c r="P19" i="35"/>
  <c r="N19" i="35"/>
  <c r="L19" i="35"/>
  <c r="J19" i="35"/>
  <c r="H19" i="35"/>
  <c r="P18" i="35"/>
  <c r="N18" i="35"/>
  <c r="L18" i="35"/>
  <c r="J18" i="35"/>
  <c r="H18" i="35"/>
  <c r="P17" i="35"/>
  <c r="N17" i="35"/>
  <c r="L17" i="35"/>
  <c r="J17" i="35"/>
  <c r="H17" i="35"/>
  <c r="P16" i="35"/>
  <c r="N16" i="35"/>
  <c r="L16" i="35"/>
  <c r="J16" i="35"/>
  <c r="H16" i="35"/>
  <c r="P15" i="35"/>
  <c r="N15" i="35"/>
  <c r="L15" i="35"/>
  <c r="J15" i="35"/>
  <c r="H15" i="35"/>
  <c r="P14" i="35"/>
  <c r="N14" i="35"/>
  <c r="L14" i="35"/>
  <c r="J14" i="35"/>
  <c r="H14" i="35"/>
  <c r="P13" i="35"/>
  <c r="N13" i="35"/>
  <c r="L13" i="35"/>
  <c r="J13" i="35"/>
  <c r="H13" i="35"/>
  <c r="P12" i="35"/>
  <c r="N12" i="35"/>
  <c r="L12" i="35"/>
  <c r="J12" i="35"/>
  <c r="H12" i="35"/>
  <c r="P11" i="35"/>
  <c r="N11" i="35"/>
  <c r="L11" i="35"/>
  <c r="J11" i="35"/>
  <c r="H11" i="35"/>
  <c r="P10" i="35"/>
  <c r="N10" i="35"/>
  <c r="L10" i="35"/>
  <c r="J10" i="35"/>
  <c r="H10" i="35"/>
  <c r="P9" i="35"/>
  <c r="N9" i="35"/>
  <c r="L9" i="35"/>
  <c r="J9" i="35"/>
  <c r="H9" i="35"/>
  <c r="P8" i="35"/>
  <c r="N8" i="35"/>
  <c r="L8" i="35"/>
  <c r="J8" i="35"/>
  <c r="H8" i="35"/>
  <c r="P7" i="35"/>
  <c r="N7" i="35"/>
  <c r="L7" i="35"/>
  <c r="J7" i="35"/>
  <c r="H7" i="35"/>
  <c r="T27" i="35"/>
  <c r="P6" i="35"/>
  <c r="N6" i="35"/>
  <c r="L6" i="35"/>
  <c r="J6" i="35"/>
  <c r="H6" i="35"/>
  <c r="Q24" i="35" l="1"/>
  <c r="Q16" i="35"/>
  <c r="V16" i="35" s="1"/>
  <c r="E167" i="90" s="1"/>
  <c r="Q8" i="35"/>
  <c r="V8" i="35" s="1"/>
  <c r="E159" i="90" s="1"/>
  <c r="V24" i="35"/>
  <c r="E175" i="90" s="1"/>
  <c r="R27" i="35"/>
  <c r="Q21" i="35"/>
  <c r="V21" i="35" s="1"/>
  <c r="E172" i="90" s="1"/>
  <c r="Q20" i="35"/>
  <c r="V20" i="35" s="1"/>
  <c r="E171" i="90" s="1"/>
  <c r="Q14" i="35"/>
  <c r="V14" i="35" s="1"/>
  <c r="E165" i="90" s="1"/>
  <c r="Q12" i="35"/>
  <c r="V12" i="35" s="1"/>
  <c r="E163" i="90" s="1"/>
  <c r="Q10" i="35"/>
  <c r="V10" i="35" s="1"/>
  <c r="E161" i="90" s="1"/>
  <c r="J27" i="35"/>
  <c r="Q19" i="35"/>
  <c r="V19" i="35" s="1"/>
  <c r="E170" i="90" s="1"/>
  <c r="Q23" i="35"/>
  <c r="V23" i="35" s="1"/>
  <c r="E174" i="90" s="1"/>
  <c r="P27" i="35"/>
  <c r="Q18" i="35"/>
  <c r="V18" i="35" s="1"/>
  <c r="E169" i="90" s="1"/>
  <c r="L27" i="35"/>
  <c r="N27" i="35"/>
  <c r="Q22" i="35"/>
  <c r="V22" i="35" s="1"/>
  <c r="E173" i="90" s="1"/>
  <c r="Q26" i="35"/>
  <c r="V26" i="35" s="1"/>
  <c r="E177" i="90" s="1"/>
  <c r="Q25" i="35"/>
  <c r="V25" i="35" s="1"/>
  <c r="E176" i="90" s="1"/>
  <c r="Q7" i="35"/>
  <c r="V7" i="35" s="1"/>
  <c r="E158" i="90" s="1"/>
  <c r="Q9" i="35"/>
  <c r="V9" i="35" s="1"/>
  <c r="E160" i="90" s="1"/>
  <c r="Q11" i="35"/>
  <c r="V11" i="35" s="1"/>
  <c r="E162" i="90" s="1"/>
  <c r="Q13" i="35"/>
  <c r="V13" i="35" s="1"/>
  <c r="E164" i="90" s="1"/>
  <c r="Q6" i="35"/>
  <c r="Q15" i="35"/>
  <c r="V15" i="35" s="1"/>
  <c r="E166" i="90" s="1"/>
  <c r="Q17" i="35"/>
  <c r="V17" i="35" s="1"/>
  <c r="E168" i="90" s="1"/>
  <c r="H27" i="35"/>
  <c r="Q27" i="35" l="1"/>
  <c r="V6" i="35"/>
  <c r="E157" i="90" s="1"/>
  <c r="V27" i="35" l="1"/>
  <c r="V25" i="8"/>
  <c r="P25" i="8"/>
  <c r="N25" i="8"/>
  <c r="L25" i="8"/>
  <c r="J25" i="8"/>
  <c r="H25" i="8"/>
  <c r="T20" i="3"/>
  <c r="N20" i="3"/>
  <c r="L20" i="3"/>
  <c r="J20" i="3"/>
  <c r="H20" i="3"/>
  <c r="T18" i="3"/>
  <c r="N18" i="3"/>
  <c r="L18" i="3"/>
  <c r="J18" i="3"/>
  <c r="H18" i="3"/>
  <c r="N12" i="3"/>
  <c r="L12" i="3"/>
  <c r="J12" i="3"/>
  <c r="H12" i="3"/>
  <c r="T11" i="3"/>
  <c r="N11" i="3"/>
  <c r="L11" i="3"/>
  <c r="J11" i="3"/>
  <c r="H11" i="3"/>
  <c r="T10" i="3"/>
  <c r="P10" i="3"/>
  <c r="N10" i="3"/>
  <c r="L10" i="3"/>
  <c r="J10" i="3"/>
  <c r="H10" i="3"/>
  <c r="N21" i="3"/>
  <c r="L21" i="3"/>
  <c r="J21" i="3"/>
  <c r="H21" i="3"/>
  <c r="N9" i="3"/>
  <c r="L9" i="3"/>
  <c r="J9" i="3"/>
  <c r="H9" i="3"/>
  <c r="Q119" i="10"/>
  <c r="P119" i="10"/>
  <c r="Q6" i="10"/>
  <c r="P6" i="10"/>
  <c r="V26" i="8"/>
  <c r="P26" i="8"/>
  <c r="N26" i="8"/>
  <c r="L26" i="8"/>
  <c r="J26" i="8"/>
  <c r="H26" i="8"/>
  <c r="T23" i="3"/>
  <c r="N23" i="3"/>
  <c r="L23" i="3"/>
  <c r="J23" i="3"/>
  <c r="H23" i="3"/>
  <c r="T17" i="3"/>
  <c r="N17" i="3"/>
  <c r="L17" i="3"/>
  <c r="J17" i="3"/>
  <c r="H17" i="3"/>
  <c r="M119" i="10"/>
  <c r="P7" i="8"/>
  <c r="P8" i="8"/>
  <c r="P9" i="8"/>
  <c r="P10" i="8"/>
  <c r="P11" i="8"/>
  <c r="P12" i="8"/>
  <c r="P13" i="8"/>
  <c r="P14" i="8"/>
  <c r="P17" i="8"/>
  <c r="P15" i="8"/>
  <c r="P16" i="8"/>
  <c r="P18" i="8"/>
  <c r="P20" i="8"/>
  <c r="P19" i="8"/>
  <c r="P21" i="8"/>
  <c r="P22" i="8"/>
  <c r="P23" i="8"/>
  <c r="P24" i="8"/>
  <c r="P27" i="8"/>
  <c r="P28" i="8"/>
  <c r="P6" i="8"/>
  <c r="V15" i="88"/>
  <c r="V16" i="88"/>
  <c r="V18" i="88"/>
  <c r="V19" i="88"/>
  <c r="V20" i="88"/>
  <c r="V21" i="88"/>
  <c r="V22" i="88"/>
  <c r="V23" i="88"/>
  <c r="V24" i="88"/>
  <c r="V14" i="88"/>
  <c r="V7" i="88"/>
  <c r="V9" i="88"/>
  <c r="V10" i="88"/>
  <c r="V11" i="88"/>
  <c r="V12" i="88"/>
  <c r="V13" i="88"/>
  <c r="V6" i="88"/>
  <c r="T23" i="11"/>
  <c r="N23" i="11"/>
  <c r="L23" i="11"/>
  <c r="J23" i="11"/>
  <c r="H23" i="11"/>
  <c r="T18" i="11"/>
  <c r="N18" i="11"/>
  <c r="L18" i="11"/>
  <c r="J18" i="11"/>
  <c r="H18" i="11"/>
  <c r="Q20" i="3" l="1"/>
  <c r="V20" i="3" s="1"/>
  <c r="E45" i="90" s="1"/>
  <c r="S25" i="8"/>
  <c r="X25" i="8" s="1"/>
  <c r="Q18" i="3"/>
  <c r="V18" i="3" s="1"/>
  <c r="E38" i="90" s="1"/>
  <c r="Q12" i="3"/>
  <c r="V12" i="3" s="1"/>
  <c r="E31" i="90" s="1"/>
  <c r="Q11" i="3"/>
  <c r="V11" i="3" s="1"/>
  <c r="E30" i="90" s="1"/>
  <c r="Q10" i="3"/>
  <c r="V10" i="3" s="1"/>
  <c r="E29" i="90" s="1"/>
  <c r="Q21" i="3"/>
  <c r="V21" i="3" s="1"/>
  <c r="E39" i="90" s="1"/>
  <c r="Q9" i="3"/>
  <c r="V9" i="3" s="1"/>
  <c r="E28" i="90" s="1"/>
  <c r="Q23" i="3"/>
  <c r="V23" i="3" s="1"/>
  <c r="E42" i="90" s="1"/>
  <c r="Q23" i="11"/>
  <c r="V23" i="11" s="1"/>
  <c r="E308" i="90" s="1"/>
  <c r="S26" i="8"/>
  <c r="X26" i="8" s="1"/>
  <c r="E245" i="90" s="1"/>
  <c r="Q17" i="3"/>
  <c r="V17" i="3" s="1"/>
  <c r="E36" i="90" s="1"/>
  <c r="Q18" i="11"/>
  <c r="V18" i="11" s="1"/>
  <c r="E302" i="90" s="1"/>
  <c r="N119" i="10"/>
  <c r="L119" i="10"/>
  <c r="J119" i="10"/>
  <c r="H119" i="10"/>
  <c r="R20" i="88"/>
  <c r="P20" i="88"/>
  <c r="N20" i="88"/>
  <c r="L20" i="88"/>
  <c r="J20" i="88"/>
  <c r="H20" i="88"/>
  <c r="R16" i="88"/>
  <c r="P16" i="88"/>
  <c r="N16" i="88"/>
  <c r="L16" i="88"/>
  <c r="J16" i="88"/>
  <c r="H16" i="88"/>
  <c r="R15" i="88"/>
  <c r="P15" i="88"/>
  <c r="N15" i="88"/>
  <c r="L15" i="88"/>
  <c r="J15" i="88"/>
  <c r="H15" i="88"/>
  <c r="R14" i="88"/>
  <c r="P14" i="88"/>
  <c r="N14" i="88"/>
  <c r="L14" i="88"/>
  <c r="J14" i="88"/>
  <c r="H14" i="88"/>
  <c r="R12" i="88"/>
  <c r="P12" i="88"/>
  <c r="N12" i="88"/>
  <c r="L12" i="88"/>
  <c r="J12" i="88"/>
  <c r="H12" i="88"/>
  <c r="R10" i="88"/>
  <c r="P10" i="88"/>
  <c r="N10" i="88"/>
  <c r="L10" i="88"/>
  <c r="J10" i="88"/>
  <c r="H10" i="88"/>
  <c r="R7" i="88"/>
  <c r="P7" i="88"/>
  <c r="N7" i="88"/>
  <c r="L7" i="88"/>
  <c r="J7" i="88"/>
  <c r="H7" i="88"/>
  <c r="R6" i="88"/>
  <c r="P6" i="88"/>
  <c r="N6" i="88"/>
  <c r="L6" i="88"/>
  <c r="J6" i="88"/>
  <c r="H6" i="88"/>
  <c r="R6" i="10"/>
  <c r="S120" i="10"/>
  <c r="F120" i="10"/>
  <c r="Q120" i="10"/>
  <c r="P120" i="10"/>
  <c r="V20" i="8"/>
  <c r="N20" i="8"/>
  <c r="L20" i="8"/>
  <c r="J20" i="8"/>
  <c r="H20" i="8"/>
  <c r="V18" i="8"/>
  <c r="N18" i="8"/>
  <c r="L18" i="8"/>
  <c r="J18" i="8"/>
  <c r="H18" i="8"/>
  <c r="V15" i="8"/>
  <c r="N15" i="8"/>
  <c r="L15" i="8"/>
  <c r="J15" i="8"/>
  <c r="H15" i="8"/>
  <c r="V14" i="8"/>
  <c r="N14" i="8"/>
  <c r="L14" i="8"/>
  <c r="J14" i="8"/>
  <c r="H14" i="8"/>
  <c r="V10" i="8"/>
  <c r="R10" i="8"/>
  <c r="N10" i="8"/>
  <c r="L10" i="8"/>
  <c r="J10" i="8"/>
  <c r="H10" i="8"/>
  <c r="V7" i="8"/>
  <c r="N7" i="8"/>
  <c r="L7" i="8"/>
  <c r="J7" i="8"/>
  <c r="H7" i="8"/>
  <c r="V6" i="8"/>
  <c r="R6" i="8"/>
  <c r="N6" i="8"/>
  <c r="L6" i="8"/>
  <c r="J6" i="8"/>
  <c r="H6" i="8"/>
  <c r="T15" i="3"/>
  <c r="T30" i="11"/>
  <c r="S14" i="8" l="1"/>
  <c r="X14" i="8" s="1"/>
  <c r="E233" i="90" s="1"/>
  <c r="S18" i="8"/>
  <c r="X18" i="8" s="1"/>
  <c r="E237" i="90" s="1"/>
  <c r="S7" i="8"/>
  <c r="X7" i="8" s="1"/>
  <c r="E226" i="90" s="1"/>
  <c r="S20" i="8"/>
  <c r="X20" i="8" s="1"/>
  <c r="E239" i="90" s="1"/>
  <c r="S10" i="8"/>
  <c r="X10" i="8" s="1"/>
  <c r="E229" i="90" s="1"/>
  <c r="S15" i="8"/>
  <c r="X15" i="8" s="1"/>
  <c r="E234" i="90" s="1"/>
  <c r="S6" i="8"/>
  <c r="X6" i="8" s="1"/>
  <c r="E225" i="90" s="1"/>
  <c r="S20" i="88"/>
  <c r="X20" i="88" s="1"/>
  <c r="E106" i="90" s="1"/>
  <c r="S16" i="88"/>
  <c r="X16" i="88" s="1"/>
  <c r="E102" i="90" s="1"/>
  <c r="S15" i="88"/>
  <c r="X15" i="88" s="1"/>
  <c r="E101" i="90" s="1"/>
  <c r="S14" i="88"/>
  <c r="X14" i="88" s="1"/>
  <c r="E100" i="90" s="1"/>
  <c r="S12" i="88"/>
  <c r="X12" i="88" s="1"/>
  <c r="E98" i="90" s="1"/>
  <c r="S10" i="88"/>
  <c r="X10" i="88" s="1"/>
  <c r="E96" i="90" s="1"/>
  <c r="S7" i="88"/>
  <c r="X7" i="88" s="1"/>
  <c r="E93" i="90" s="1"/>
  <c r="S6" i="88"/>
  <c r="X6" i="88" s="1"/>
  <c r="E92" i="90" s="1"/>
  <c r="P13" i="11" l="1"/>
  <c r="T31" i="11"/>
  <c r="T19" i="3"/>
  <c r="N156" i="10"/>
  <c r="L156" i="10"/>
  <c r="J156" i="10"/>
  <c r="H156" i="10"/>
  <c r="T27" i="11"/>
  <c r="N27" i="11"/>
  <c r="L27" i="11"/>
  <c r="J27" i="11"/>
  <c r="H27" i="11"/>
  <c r="N24" i="11"/>
  <c r="L24" i="11"/>
  <c r="J24" i="11"/>
  <c r="H24" i="11"/>
  <c r="T22" i="11"/>
  <c r="N22" i="11"/>
  <c r="L22" i="11"/>
  <c r="J22" i="11"/>
  <c r="H22" i="11"/>
  <c r="T16" i="11"/>
  <c r="N16" i="11"/>
  <c r="L16" i="11"/>
  <c r="J16" i="11"/>
  <c r="H16" i="11"/>
  <c r="N13" i="11"/>
  <c r="L13" i="11"/>
  <c r="J13" i="11"/>
  <c r="H13" i="11"/>
  <c r="R18" i="88"/>
  <c r="P18" i="88"/>
  <c r="N18" i="88"/>
  <c r="L18" i="88"/>
  <c r="J18" i="88"/>
  <c r="H18" i="88"/>
  <c r="R21" i="88"/>
  <c r="P21" i="88"/>
  <c r="N21" i="88"/>
  <c r="L21" i="88"/>
  <c r="J21" i="88"/>
  <c r="H21" i="88"/>
  <c r="R19" i="88"/>
  <c r="P19" i="88"/>
  <c r="N19" i="88"/>
  <c r="L19" i="88"/>
  <c r="J19" i="88"/>
  <c r="H19" i="88"/>
  <c r="R11" i="88"/>
  <c r="P11" i="88"/>
  <c r="N11" i="88"/>
  <c r="L11" i="88"/>
  <c r="J11" i="88"/>
  <c r="H11" i="88"/>
  <c r="S7" i="10"/>
  <c r="N6" i="10"/>
  <c r="L6" i="10"/>
  <c r="J6" i="10"/>
  <c r="H6" i="10"/>
  <c r="F7" i="10"/>
  <c r="P7" i="10"/>
  <c r="Q7" i="10"/>
  <c r="N19" i="3"/>
  <c r="L19" i="3"/>
  <c r="J19" i="3"/>
  <c r="H19" i="3"/>
  <c r="N15" i="3"/>
  <c r="L15" i="3"/>
  <c r="J15" i="3"/>
  <c r="H15" i="3"/>
  <c r="L7" i="10" l="1"/>
  <c r="Q19" i="3"/>
  <c r="V19" i="3" s="1"/>
  <c r="E37" i="90" s="1"/>
  <c r="O156" i="10"/>
  <c r="T156" i="10" s="1"/>
  <c r="E319" i="90" s="1"/>
  <c r="Q27" i="11"/>
  <c r="V27" i="11" s="1"/>
  <c r="Q24" i="11"/>
  <c r="V24" i="11" s="1"/>
  <c r="E309" i="90" s="1"/>
  <c r="Q22" i="11"/>
  <c r="V22" i="11" s="1"/>
  <c r="Q16" i="11"/>
  <c r="V16" i="11" s="1"/>
  <c r="E300" i="90" s="1"/>
  <c r="Q13" i="11"/>
  <c r="V13" i="11" s="1"/>
  <c r="E296" i="90" s="1"/>
  <c r="S18" i="88"/>
  <c r="X18" i="88" s="1"/>
  <c r="E104" i="90" s="1"/>
  <c r="S21" i="88"/>
  <c r="X21" i="88" s="1"/>
  <c r="S19" i="88"/>
  <c r="X19" i="88" s="1"/>
  <c r="E105" i="90" s="1"/>
  <c r="S11" i="88"/>
  <c r="X11" i="88" s="1"/>
  <c r="E97" i="90" s="1"/>
  <c r="J7" i="10"/>
  <c r="O6" i="10"/>
  <c r="N7" i="10"/>
  <c r="H7" i="10"/>
  <c r="Q15" i="3"/>
  <c r="V15" i="3" s="1"/>
  <c r="E34" i="90" s="1"/>
  <c r="E306" i="90" l="1"/>
  <c r="E307" i="90"/>
  <c r="E311" i="90"/>
  <c r="E107" i="90"/>
  <c r="T6" i="11"/>
  <c r="P6" i="11"/>
  <c r="N6" i="11"/>
  <c r="L6" i="11"/>
  <c r="J6" i="11"/>
  <c r="H6" i="11"/>
  <c r="Q6" i="11" l="1"/>
  <c r="V6" i="11" s="1"/>
  <c r="E292" i="90" s="1"/>
  <c r="T13" i="3" l="1"/>
  <c r="H15" i="11"/>
  <c r="J15" i="11"/>
  <c r="L15" i="11"/>
  <c r="N13" i="3"/>
  <c r="L13" i="3"/>
  <c r="J13" i="3"/>
  <c r="H13" i="3"/>
  <c r="Q13" i="3" l="1"/>
  <c r="V13" i="3" s="1"/>
  <c r="E32" i="90" s="1"/>
  <c r="R7" i="10" l="1"/>
  <c r="T16" i="3"/>
  <c r="T22" i="3"/>
  <c r="T24" i="3"/>
  <c r="T25" i="3"/>
  <c r="T14" i="3"/>
  <c r="T7" i="3"/>
  <c r="T8" i="3"/>
  <c r="T6" i="3"/>
  <c r="V16" i="8" l="1"/>
  <c r="V19" i="8"/>
  <c r="V11" i="8"/>
  <c r="N16" i="3"/>
  <c r="L16" i="3"/>
  <c r="J16" i="3"/>
  <c r="H16" i="3"/>
  <c r="N14" i="3"/>
  <c r="L14" i="3"/>
  <c r="J14" i="3"/>
  <c r="H14" i="3"/>
  <c r="N8" i="3"/>
  <c r="L8" i="3"/>
  <c r="J8" i="3"/>
  <c r="H8" i="3"/>
  <c r="N7" i="3"/>
  <c r="L7" i="3"/>
  <c r="J7" i="3"/>
  <c r="H7" i="3"/>
  <c r="P6" i="3"/>
  <c r="N6" i="3"/>
  <c r="L6" i="3"/>
  <c r="J6" i="3"/>
  <c r="H6" i="3"/>
  <c r="R119" i="10"/>
  <c r="R120" i="10" s="1"/>
  <c r="T33" i="11"/>
  <c r="T15" i="11"/>
  <c r="N26" i="11"/>
  <c r="L26" i="11"/>
  <c r="J26" i="11"/>
  <c r="H26" i="11"/>
  <c r="P15" i="11"/>
  <c r="N15" i="11"/>
  <c r="N8" i="11"/>
  <c r="L8" i="11"/>
  <c r="J8" i="11"/>
  <c r="H8" i="11"/>
  <c r="Q16" i="3" l="1"/>
  <c r="V16" i="3" s="1"/>
  <c r="E35" i="90" s="1"/>
  <c r="Q14" i="3"/>
  <c r="V14" i="3" s="1"/>
  <c r="E33" i="90" s="1"/>
  <c r="Q8" i="3"/>
  <c r="V8" i="3" s="1"/>
  <c r="Q7" i="3"/>
  <c r="V7" i="3" s="1"/>
  <c r="Q6" i="3"/>
  <c r="V6" i="3" s="1"/>
  <c r="Q26" i="11"/>
  <c r="V26" i="11" s="1"/>
  <c r="E310" i="90" s="1"/>
  <c r="Q15" i="11"/>
  <c r="V15" i="11" s="1"/>
  <c r="Q8" i="11"/>
  <c r="V8" i="11" s="1"/>
  <c r="E294" i="90" s="1"/>
  <c r="N11" i="8"/>
  <c r="L11" i="8"/>
  <c r="J11" i="8"/>
  <c r="H11" i="8"/>
  <c r="E299" i="90" l="1"/>
  <c r="S11" i="8"/>
  <c r="X11" i="8" s="1"/>
  <c r="E230" i="90" s="1"/>
  <c r="E25" i="90"/>
  <c r="E26" i="90"/>
  <c r="E24" i="90"/>
  <c r="T6" i="10"/>
  <c r="O7" i="10"/>
  <c r="T7" i="10" l="1"/>
  <c r="V9" i="8"/>
  <c r="N9" i="8"/>
  <c r="L9" i="8"/>
  <c r="J9" i="8"/>
  <c r="H9" i="8"/>
  <c r="T20" i="11"/>
  <c r="N20" i="11"/>
  <c r="L20" i="11"/>
  <c r="J20" i="11"/>
  <c r="H20" i="11"/>
  <c r="T19" i="11"/>
  <c r="N19" i="11"/>
  <c r="L19" i="11"/>
  <c r="J19" i="11"/>
  <c r="H19" i="11"/>
  <c r="S84" i="10"/>
  <c r="R84" i="10"/>
  <c r="Q84" i="10"/>
  <c r="P84" i="10"/>
  <c r="F84" i="10"/>
  <c r="M82" i="10"/>
  <c r="N82" i="10" s="1"/>
  <c r="L82" i="10"/>
  <c r="J82" i="10"/>
  <c r="H82" i="10"/>
  <c r="T26" i="3"/>
  <c r="S9" i="8" l="1"/>
  <c r="X9" i="8" s="1"/>
  <c r="E228" i="90" s="1"/>
  <c r="Q20" i="11"/>
  <c r="V20" i="11" s="1"/>
  <c r="Q19" i="11"/>
  <c r="V19" i="11" s="1"/>
  <c r="O82" i="10"/>
  <c r="T82" i="10" s="1"/>
  <c r="N26" i="3"/>
  <c r="L26" i="3"/>
  <c r="J26" i="3"/>
  <c r="H26" i="3"/>
  <c r="E303" i="90" l="1"/>
  <c r="E304" i="90"/>
  <c r="Q26" i="3"/>
  <c r="V26" i="3" s="1"/>
  <c r="E44" i="90" s="1"/>
  <c r="V21" i="8"/>
  <c r="V22" i="8"/>
  <c r="V23" i="8"/>
  <c r="V24" i="8"/>
  <c r="V27" i="8"/>
  <c r="V28" i="8"/>
  <c r="N19" i="8" l="1"/>
  <c r="L19" i="8"/>
  <c r="J19" i="8"/>
  <c r="H19" i="8"/>
  <c r="N27" i="8"/>
  <c r="L27" i="8"/>
  <c r="J27" i="8"/>
  <c r="H27" i="8"/>
  <c r="S19" i="8" l="1"/>
  <c r="X19" i="8" s="1"/>
  <c r="E238" i="90" s="1"/>
  <c r="S27" i="8"/>
  <c r="X27" i="8" s="1"/>
  <c r="E246" i="90" s="1"/>
  <c r="M44" i="10"/>
  <c r="R23" i="88"/>
  <c r="P23" i="88"/>
  <c r="N23" i="88"/>
  <c r="L23" i="88"/>
  <c r="J23" i="88"/>
  <c r="H23" i="88"/>
  <c r="R9" i="88"/>
  <c r="P9" i="88"/>
  <c r="N9" i="88"/>
  <c r="L9" i="88"/>
  <c r="J9" i="88"/>
  <c r="H9" i="88"/>
  <c r="S23" i="88" l="1"/>
  <c r="X23" i="88" s="1"/>
  <c r="E109" i="90" s="1"/>
  <c r="S9" i="88"/>
  <c r="X9" i="88" s="1"/>
  <c r="E95" i="90" s="1"/>
  <c r="N30" i="11" l="1"/>
  <c r="L30" i="11"/>
  <c r="J30" i="11"/>
  <c r="H30" i="11"/>
  <c r="N31" i="11"/>
  <c r="L31" i="11"/>
  <c r="J31" i="11"/>
  <c r="H31" i="11"/>
  <c r="T21" i="11"/>
  <c r="N21" i="11"/>
  <c r="L21" i="11"/>
  <c r="J21" i="11"/>
  <c r="H21" i="11"/>
  <c r="V8" i="8"/>
  <c r="N8" i="8"/>
  <c r="L8" i="8"/>
  <c r="J8" i="8"/>
  <c r="H8" i="8"/>
  <c r="N22" i="3"/>
  <c r="L22" i="3"/>
  <c r="J22" i="3"/>
  <c r="H22" i="3"/>
  <c r="N24" i="3"/>
  <c r="L24" i="3"/>
  <c r="J24" i="3"/>
  <c r="H24" i="3"/>
  <c r="S8" i="8" l="1"/>
  <c r="X8" i="8" s="1"/>
  <c r="E227" i="90" s="1"/>
  <c r="Q30" i="11"/>
  <c r="V30" i="11" s="1"/>
  <c r="E314" i="90" s="1"/>
  <c r="Q31" i="11"/>
  <c r="V31" i="11" s="1"/>
  <c r="Q21" i="11"/>
  <c r="V21" i="11" s="1"/>
  <c r="E305" i="90" s="1"/>
  <c r="Q22" i="3"/>
  <c r="V22" i="3" s="1"/>
  <c r="E41" i="90" s="1"/>
  <c r="Q24" i="3"/>
  <c r="V24" i="3" s="1"/>
  <c r="E40" i="90" s="1"/>
  <c r="E315" i="90" l="1"/>
  <c r="T35" i="11"/>
  <c r="N83" i="10"/>
  <c r="N84" i="10" s="1"/>
  <c r="L83" i="10"/>
  <c r="L84" i="10" s="1"/>
  <c r="J83" i="10"/>
  <c r="J84" i="10" s="1"/>
  <c r="H83" i="10"/>
  <c r="H84" i="10" s="1"/>
  <c r="O83" i="10" l="1"/>
  <c r="O84" i="10" s="1"/>
  <c r="T83" i="10" l="1"/>
  <c r="T84" i="10" l="1"/>
  <c r="N24" i="8"/>
  <c r="L24" i="8"/>
  <c r="J24" i="8"/>
  <c r="H24" i="8"/>
  <c r="N23" i="8"/>
  <c r="L23" i="8"/>
  <c r="J23" i="8"/>
  <c r="H23" i="8"/>
  <c r="N22" i="8"/>
  <c r="L22" i="8"/>
  <c r="J22" i="8"/>
  <c r="H22" i="8"/>
  <c r="N21" i="8"/>
  <c r="L21" i="8"/>
  <c r="J21" i="8"/>
  <c r="H21" i="8"/>
  <c r="N16" i="8"/>
  <c r="L16" i="8"/>
  <c r="J16" i="8"/>
  <c r="H16" i="8"/>
  <c r="S16" i="8" s="1"/>
  <c r="V17" i="8"/>
  <c r="N17" i="8"/>
  <c r="L17" i="8"/>
  <c r="J17" i="8"/>
  <c r="H17" i="8"/>
  <c r="S22" i="8" l="1"/>
  <c r="S21" i="8"/>
  <c r="X21" i="8" s="1"/>
  <c r="E240" i="90" s="1"/>
  <c r="S23" i="8"/>
  <c r="E244" i="90"/>
  <c r="S24" i="8"/>
  <c r="X24" i="8" s="1"/>
  <c r="E243" i="90" s="1"/>
  <c r="S17" i="8"/>
  <c r="X17" i="8" s="1"/>
  <c r="E236" i="90" s="1"/>
  <c r="X23" i="8"/>
  <c r="E242" i="90" s="1"/>
  <c r="X22" i="8"/>
  <c r="E241" i="90" s="1"/>
  <c r="X16" i="8"/>
  <c r="E235" i="90" s="1"/>
  <c r="V13" i="8" l="1"/>
  <c r="N13" i="8"/>
  <c r="L13" i="8"/>
  <c r="J13" i="8"/>
  <c r="H13" i="8"/>
  <c r="V12" i="8"/>
  <c r="N12" i="8"/>
  <c r="L12" i="8"/>
  <c r="J12" i="8"/>
  <c r="H12" i="8"/>
  <c r="R13" i="88"/>
  <c r="R22" i="88"/>
  <c r="R24" i="88"/>
  <c r="S13" i="8" l="1"/>
  <c r="X13" i="8" s="1"/>
  <c r="E232" i="90" s="1"/>
  <c r="S12" i="8"/>
  <c r="X12" i="8" s="1"/>
  <c r="E231" i="90" s="1"/>
  <c r="R25" i="88"/>
  <c r="N44" i="10" l="1"/>
  <c r="L44" i="10"/>
  <c r="J44" i="10"/>
  <c r="H44" i="10"/>
  <c r="P13" i="88"/>
  <c r="P22" i="88"/>
  <c r="P24" i="88"/>
  <c r="W25" i="88" l="1"/>
  <c r="V25" i="88"/>
  <c r="F25" i="88"/>
  <c r="N24" i="88"/>
  <c r="L24" i="88"/>
  <c r="J24" i="88"/>
  <c r="H24" i="88"/>
  <c r="N22" i="88"/>
  <c r="L22" i="88"/>
  <c r="J22" i="88"/>
  <c r="H22" i="88"/>
  <c r="N13" i="88"/>
  <c r="L13" i="88"/>
  <c r="J13" i="88"/>
  <c r="H13" i="88"/>
  <c r="S24" i="88" l="1"/>
  <c r="X24" i="88" s="1"/>
  <c r="S22" i="88"/>
  <c r="X22" i="88" s="1"/>
  <c r="S13" i="88"/>
  <c r="X13" i="88" s="1"/>
  <c r="E99" i="90" s="1"/>
  <c r="U25" i="88"/>
  <c r="X31" i="88" s="1"/>
  <c r="J25" i="88"/>
  <c r="T25" i="88"/>
  <c r="X30" i="88" s="1"/>
  <c r="H25" i="88"/>
  <c r="L25" i="88"/>
  <c r="P25" i="88"/>
  <c r="N25" i="88"/>
  <c r="E108" i="90" l="1"/>
  <c r="E110" i="90"/>
  <c r="S25" i="88"/>
  <c r="E111" i="90" l="1"/>
  <c r="X25" i="88"/>
  <c r="X32" i="88" s="1"/>
  <c r="X34" i="88" s="1"/>
  <c r="N120" i="10"/>
  <c r="L120" i="10"/>
  <c r="J120" i="10"/>
  <c r="H120" i="10"/>
  <c r="N28" i="8"/>
  <c r="L28" i="8"/>
  <c r="J28" i="8"/>
  <c r="H28" i="8"/>
  <c r="S28" i="8" l="1"/>
  <c r="X28" i="8" s="1"/>
  <c r="E247" i="90" s="1"/>
  <c r="P29" i="8"/>
  <c r="O119" i="10"/>
  <c r="O120" i="10" s="1"/>
  <c r="T119" i="10" l="1"/>
  <c r="E248" i="90" s="1"/>
  <c r="T120" i="10" l="1"/>
  <c r="N29" i="11" l="1"/>
  <c r="L29" i="11"/>
  <c r="J29" i="11"/>
  <c r="H29" i="11"/>
  <c r="Q29" i="11" l="1"/>
  <c r="V29" i="11" s="1"/>
  <c r="E312" i="90" l="1"/>
  <c r="U36" i="11"/>
  <c r="F36" i="11" l="1"/>
  <c r="S36" i="11" l="1"/>
  <c r="R36" i="11"/>
  <c r="T36" i="11" l="1"/>
  <c r="F27" i="3" l="1"/>
  <c r="O27" i="3" l="1"/>
  <c r="P27" i="3" l="1"/>
  <c r="S157" i="10"/>
  <c r="F157" i="10"/>
  <c r="R157" i="10"/>
  <c r="Q157" i="10"/>
  <c r="P157" i="10"/>
  <c r="R29" i="8" l="1"/>
  <c r="F29" i="8"/>
  <c r="N35" i="11" l="1"/>
  <c r="P36" i="11" l="1"/>
  <c r="L35" i="11" l="1"/>
  <c r="J35" i="11"/>
  <c r="H35" i="11"/>
  <c r="N33" i="11"/>
  <c r="L33" i="11"/>
  <c r="J33" i="11"/>
  <c r="L36" i="11" l="1"/>
  <c r="J36" i="11"/>
  <c r="Q35" i="11"/>
  <c r="V35" i="11" s="1"/>
  <c r="E318" i="90" s="1"/>
  <c r="V29" i="8"/>
  <c r="N36" i="11"/>
  <c r="J29" i="8"/>
  <c r="N29" i="8"/>
  <c r="L29" i="8"/>
  <c r="N157" i="10" l="1"/>
  <c r="L157" i="10"/>
  <c r="J157" i="10"/>
  <c r="H157" i="10"/>
  <c r="R45" i="10" l="1"/>
  <c r="O44" i="10"/>
  <c r="T44" i="10" s="1"/>
  <c r="N45" i="10"/>
  <c r="J45" i="10"/>
  <c r="O157" i="10" l="1"/>
  <c r="L45" i="10"/>
  <c r="T157" i="10" l="1"/>
  <c r="T27" i="3"/>
  <c r="N25" i="3"/>
  <c r="M27" i="3"/>
  <c r="L25" i="3"/>
  <c r="K27" i="3"/>
  <c r="J25" i="3"/>
  <c r="I27" i="3"/>
  <c r="N27" i="3" l="1"/>
  <c r="J27" i="3"/>
  <c r="L27" i="3"/>
  <c r="S45" i="10" l="1"/>
  <c r="O45" i="10"/>
  <c r="F45" i="10"/>
  <c r="H45" i="10" l="1"/>
  <c r="W29" i="8" l="1"/>
  <c r="H33" i="11" l="1"/>
  <c r="H36" i="11" s="1"/>
  <c r="Q33" i="11" l="1"/>
  <c r="V33" i="11" l="1"/>
  <c r="E317" i="90" s="1"/>
  <c r="Q36" i="11"/>
  <c r="Q45" i="10"/>
  <c r="P45" i="10"/>
  <c r="E316" i="90" l="1"/>
  <c r="E320" i="90" s="1"/>
  <c r="V36" i="11"/>
  <c r="T45" i="10"/>
  <c r="G27" i="3" l="1"/>
  <c r="E178" i="90" l="1"/>
  <c r="U27" i="3" l="1"/>
  <c r="H25" i="3"/>
  <c r="Q25" i="3" l="1"/>
  <c r="V25" i="3" s="1"/>
  <c r="E43" i="90" s="1"/>
  <c r="E46" i="90" l="1"/>
  <c r="Q27" i="3"/>
  <c r="H29" i="8" l="1"/>
  <c r="T29" i="8"/>
  <c r="U29" i="8"/>
  <c r="S29" i="8" l="1"/>
  <c r="H27" i="3"/>
  <c r="R27" i="3"/>
  <c r="S27" i="3"/>
  <c r="X29" i="8" l="1"/>
  <c r="V27" i="3"/>
</calcChain>
</file>

<file path=xl/sharedStrings.xml><?xml version="1.0" encoding="utf-8"?>
<sst xmlns="http://schemas.openxmlformats.org/spreadsheetml/2006/main" count="1438" uniqueCount="557">
  <si>
    <t>Tt</t>
  </si>
  <si>
    <t>Ghi</t>
  </si>
  <si>
    <t>danh</t>
  </si>
  <si>
    <t>Capt.</t>
  </si>
  <si>
    <t>2/O</t>
  </si>
  <si>
    <t>3/O</t>
  </si>
  <si>
    <t>C/E</t>
  </si>
  <si>
    <t>2/E</t>
  </si>
  <si>
    <t>3/E</t>
  </si>
  <si>
    <t>BSN</t>
  </si>
  <si>
    <t>AB</t>
  </si>
  <si>
    <t>OS</t>
  </si>
  <si>
    <t>No.1</t>
  </si>
  <si>
    <t>OLR</t>
  </si>
  <si>
    <t>C/C</t>
  </si>
  <si>
    <t>M/M</t>
  </si>
  <si>
    <t>C/O</t>
  </si>
  <si>
    <t>1/E</t>
  </si>
  <si>
    <t>A.OS</t>
  </si>
  <si>
    <t>BHXH, TN</t>
  </si>
  <si>
    <t>chính</t>
  </si>
  <si>
    <t>Tổng cộng</t>
  </si>
  <si>
    <t>Vietcombank, Hải Phòng</t>
  </si>
  <si>
    <t>BẢNG THANH TOÁN LƯƠNG THUYỀN VIÊN TÀU INLACO BRIGHT</t>
  </si>
  <si>
    <t>Đơn vị tính : VNĐ</t>
  </si>
  <si>
    <t>SĐK</t>
  </si>
  <si>
    <t>Họ và Tên</t>
  </si>
  <si>
    <t xml:space="preserve">Chức </t>
  </si>
  <si>
    <t>Ngày</t>
  </si>
  <si>
    <t>nhập tàu</t>
  </si>
  <si>
    <t>công</t>
  </si>
  <si>
    <t>Lương</t>
  </si>
  <si>
    <t>Ngoài</t>
  </si>
  <si>
    <t>Tiền</t>
  </si>
  <si>
    <t>Tổng</t>
  </si>
  <si>
    <t>Đoàn phí</t>
  </si>
  <si>
    <t>TV nhận</t>
  </si>
  <si>
    <t>Nợ</t>
  </si>
  <si>
    <t>giờ</t>
  </si>
  <si>
    <t>phép</t>
  </si>
  <si>
    <t>phụ cấp</t>
  </si>
  <si>
    <t>lương</t>
  </si>
  <si>
    <t>trên tàu</t>
  </si>
  <si>
    <t>gia đình</t>
  </si>
  <si>
    <t>chú</t>
  </si>
  <si>
    <t>Người lập</t>
  </si>
  <si>
    <t>P.Trưởng phòng Thuyền viên</t>
  </si>
  <si>
    <t>Kế toán trưởng</t>
  </si>
  <si>
    <t>Tổng giám đốc</t>
  </si>
  <si>
    <t>BẢNG THANH TOÁN LƯƠNG THUYỀN VIÊN TÀU INLACO EXPRESS</t>
  </si>
  <si>
    <t>Phụ cấp</t>
  </si>
  <si>
    <t>Lương để lại</t>
  </si>
  <si>
    <t>BẢNG THANH TOÁN LƯƠNG THUYỀN VIÊN TÀU THANH THỦY</t>
  </si>
  <si>
    <t>BẢNG THANH TOÁN LƯƠNG THUYỀN VIÊN TÀU AQUAMARINE</t>
  </si>
  <si>
    <t>BẢNG THANH TOÁN LƯƠNG THUYỀN VIÊN THỰC TẬP TÀU INLACO BRIGHT</t>
  </si>
  <si>
    <t>Chi</t>
  </si>
  <si>
    <t>P. Trưởng phòng Thuyền viên</t>
  </si>
  <si>
    <t>BẢNG THANH TOÁN LƯƠNG THUYỀN VIÊN THỰC TẬP TÀU INLACO EXPRESS</t>
  </si>
  <si>
    <t>BẢNG THANH TOÁN LƯƠNG THUYỀN VIÊN THỰC TẬP TÀU THANH THỦY</t>
  </si>
  <si>
    <t>BẢNG THANH TOÁN LƯƠNG THUYỀN VIÊN THỰC TẬP TÀU AQUAMARINE</t>
  </si>
  <si>
    <t>Phụ</t>
  </si>
  <si>
    <t>cấp</t>
  </si>
  <si>
    <t>BHXH,</t>
  </si>
  <si>
    <t>BHTN</t>
  </si>
  <si>
    <t>BHXH</t>
  </si>
  <si>
    <t>Tp. Hồ Chí Minh, ngày       tháng       năm 2024</t>
  </si>
  <si>
    <t>Agribank, Quảng Xương, Thanh Hóa</t>
  </si>
  <si>
    <t>BẢNG THANH TOÁN LƯƠNG THUYỀN VIÊN TÀU INLACO HARMONY</t>
  </si>
  <si>
    <t>BẢNG THANH TOÁN LƯƠNG THUYỀN VIÊN THỰC TẬP TÀU INLACO HARMONY</t>
  </si>
  <si>
    <t>A.C/E</t>
  </si>
  <si>
    <t>đào tạo</t>
  </si>
  <si>
    <t>Phụ cấp vùng</t>
  </si>
  <si>
    <t>hoạt động</t>
  </si>
  <si>
    <t>Vietinbank, Quỳnh Lưu, Nghệ An</t>
  </si>
  <si>
    <t>Vietcombank, Nam Định</t>
  </si>
  <si>
    <t>Nguyễn Tiến Thuật</t>
  </si>
  <si>
    <t>1020339929</t>
  </si>
  <si>
    <t>Vietcombank, Hưng Yên</t>
  </si>
  <si>
    <t>Phạm Thị Vân Anh</t>
  </si>
  <si>
    <t>Techcombank, Thái Bình</t>
  </si>
  <si>
    <t>Tp. Hồ Chí Minh, ngày       tháng       năm 2025</t>
  </si>
  <si>
    <t>Trần Văn Kiên</t>
  </si>
  <si>
    <t>A.3/E</t>
  </si>
  <si>
    <t>Đỗ Xuân Khang</t>
  </si>
  <si>
    <t>02001018959841</t>
  </si>
  <si>
    <t>MSB, Ngô Quyền, Hải Phòng</t>
  </si>
  <si>
    <t>Nguyễn Tuyết Ngân</t>
  </si>
  <si>
    <t>0031000307779</t>
  </si>
  <si>
    <t>Trần Nam Dân</t>
  </si>
  <si>
    <t>Dương Ngọc Khuê</t>
  </si>
  <si>
    <t>Trương Quốc Cường</t>
  </si>
  <si>
    <t>Đào Văn Nam</t>
  </si>
  <si>
    <t>Lê Ngọc Hồng Sơn</t>
  </si>
  <si>
    <t>Dương Đình Huấn</t>
  </si>
  <si>
    <t>Ng. Văn Mạnh</t>
  </si>
  <si>
    <t>Vũ Quốc Việt</t>
  </si>
  <si>
    <t>Phạm Việt Hùng</t>
  </si>
  <si>
    <t>Nguyễn Hữu Sơn</t>
  </si>
  <si>
    <t>Vi Văn Nhất</t>
  </si>
  <si>
    <t>Trương Quang Vân</t>
  </si>
  <si>
    <t>Nguyễn Văn Khanh</t>
  </si>
  <si>
    <t>Nguyễn Đức Trà</t>
  </si>
  <si>
    <t>Nguyễn Văn Mạnh</t>
  </si>
  <si>
    <t>3309205086492</t>
  </si>
  <si>
    <t>Agribank, Kim Sơn, Ninh Bình</t>
  </si>
  <si>
    <t>1018464912</t>
  </si>
  <si>
    <t>Bùi Thị Như Quỳnh</t>
  </si>
  <si>
    <t>0935742693</t>
  </si>
  <si>
    <t>Vietinbank, Cẩm Lệ, Đà Nẵng</t>
  </si>
  <si>
    <t>Nguyễn Thị Mỹ Duyên</t>
  </si>
  <si>
    <t>0031000223327</t>
  </si>
  <si>
    <t>Vietcombank, Thủy Nguyên, Hải Phòng</t>
  </si>
  <si>
    <t>050096284338</t>
  </si>
  <si>
    <t>Sacombank, Bình Long, Bình Phước</t>
  </si>
  <si>
    <t>8103205189545</t>
  </si>
  <si>
    <t>Agribank, Hàm Yên, Tuyên Quang</t>
  </si>
  <si>
    <t>Nguyễn Thị Kim Anh</t>
  </si>
  <si>
    <t>19031711416017</t>
  </si>
  <si>
    <t>Techcombank, Thủy Nguyên, Hải Phòng</t>
  </si>
  <si>
    <t>Nguyễn Thị Miền</t>
  </si>
  <si>
    <t>0989610136</t>
  </si>
  <si>
    <t>MB, Thịnh Long, Nam Định</t>
  </si>
  <si>
    <t>Nguyễn Thị Hoa</t>
  </si>
  <si>
    <t>39030247300018</t>
  </si>
  <si>
    <t>MBV, Thăng Long, Hà Nội</t>
  </si>
  <si>
    <t>Phạm Thị Sương</t>
  </si>
  <si>
    <t>Vietcombank, Đông Hưng, Thái Bình</t>
  </si>
  <si>
    <t>0914910364</t>
  </si>
  <si>
    <t>MB, Hải Phòng</t>
  </si>
  <si>
    <t>108005392301</t>
  </si>
  <si>
    <t>Vietinbank, Ninh Bình</t>
  </si>
  <si>
    <t>Nguyễn Thị Thúy Lan</t>
  </si>
  <si>
    <t>Trần Quang Anh</t>
  </si>
  <si>
    <t>0351000790401</t>
  </si>
  <si>
    <t>Vietcombank, Nghệ An</t>
  </si>
  <si>
    <t>Lê Thị Phương</t>
  </si>
  <si>
    <t>Agribank, Thái Bình</t>
  </si>
  <si>
    <t>1024528000</t>
  </si>
  <si>
    <t>Trần Minh Phong</t>
  </si>
  <si>
    <t>Vũ Văn Tiến</t>
  </si>
  <si>
    <t>TV343</t>
  </si>
  <si>
    <t>Ngô Tuấn Kiệt</t>
  </si>
  <si>
    <t>107006029607</t>
  </si>
  <si>
    <t>Vietinbank, cn TP. Hà Tĩnh</t>
  </si>
  <si>
    <t>100874820882</t>
  </si>
  <si>
    <t>Vietinbank, Đông Hải Phòng</t>
  </si>
  <si>
    <t>62643667799</t>
  </si>
  <si>
    <t>MB Bank, Nam Định</t>
  </si>
  <si>
    <t>Nguyễn Thị Phương</t>
  </si>
  <si>
    <t>Sacombank, Tịnh Biên, An Giang</t>
  </si>
  <si>
    <t>Võ Xuân Vinh</t>
  </si>
  <si>
    <t>Lê Công Trịnh</t>
  </si>
  <si>
    <t>Mai Văn Hạ</t>
  </si>
  <si>
    <t>Vũ Trần Đình</t>
  </si>
  <si>
    <t>19031865358011</t>
  </si>
  <si>
    <t>Techcombank, Nha Trang, Khánh Hòa</t>
  </si>
  <si>
    <t>Huỳnh Thị Hồ Như Thủy</t>
  </si>
  <si>
    <t>19032958629011</t>
  </si>
  <si>
    <t>Lê Thị Hạnh</t>
  </si>
  <si>
    <t>3208205018661</t>
  </si>
  <si>
    <t>Agribank, Đông Bình, Nam Định</t>
  </si>
  <si>
    <t>Trần Thị Nụ</t>
  </si>
  <si>
    <t>229210759</t>
  </si>
  <si>
    <t>ACB, Tùng Thiện Vương, HCM</t>
  </si>
  <si>
    <t>Vũ Việt Nga</t>
  </si>
  <si>
    <t>070128577368</t>
  </si>
  <si>
    <t>Vũ Hồng Quyết</t>
  </si>
  <si>
    <t>Đào Ngọc Dưỡng</t>
  </si>
  <si>
    <t>Lê Văn Cường</t>
  </si>
  <si>
    <t>Nguyễn Văn Trung</t>
  </si>
  <si>
    <t>Nguyễn Văn Tuấn</t>
  </si>
  <si>
    <t>Đặng Đức Nhuận</t>
  </si>
  <si>
    <t>Nguyễn Đức Toàn</t>
  </si>
  <si>
    <t>Ng. Trường Thắng</t>
  </si>
  <si>
    <t>Hoàng Mạnh Cường</t>
  </si>
  <si>
    <t>Võ Hoàng Khanh</t>
  </si>
  <si>
    <t>TV334</t>
  </si>
  <si>
    <t>Nguyễn Văn San</t>
  </si>
  <si>
    <t>Trần Văn Đạt</t>
  </si>
  <si>
    <t>Nguyễn Trường Thắng</t>
  </si>
  <si>
    <t>0031000375572</t>
  </si>
  <si>
    <t>0031000947253</t>
  </si>
  <si>
    <t>Vietcombank, Hồng Bàng, Hải Phòng</t>
  </si>
  <si>
    <t>0241004100880</t>
  </si>
  <si>
    <t>Vietcombank, Bến Tre</t>
  </si>
  <si>
    <t>106868492983</t>
  </si>
  <si>
    <t>Vietinbank, Bến Tre</t>
  </si>
  <si>
    <t>9978767131</t>
  </si>
  <si>
    <t>Vietcombank, Vĩnh Bảo, Hải Phòng</t>
  </si>
  <si>
    <t>Phạm Thị Gịu</t>
  </si>
  <si>
    <t>19026917828024</t>
  </si>
  <si>
    <t>Techcombank, Chương Dương, Hà Nội</t>
  </si>
  <si>
    <t>Phạm Thị Tuyết Mai</t>
  </si>
  <si>
    <t>8003205011844</t>
  </si>
  <si>
    <t>Agribank, Tây Quảng Ninh, Quảng Ninh</t>
  </si>
  <si>
    <t>Lê Thị Hoài Thanh</t>
  </si>
  <si>
    <t>107874897220</t>
  </si>
  <si>
    <t>Vietinbank, Diễn Đồng, Diễn Châu, Nghệ An</t>
  </si>
  <si>
    <t>Bùi Thị Luận</t>
  </si>
  <si>
    <t>5110424783</t>
  </si>
  <si>
    <t>BIDV, Đô Lương, Nghệ An</t>
  </si>
  <si>
    <t>Đinh Thị Phương Nga</t>
  </si>
  <si>
    <t>3113115117119</t>
  </si>
  <si>
    <t>0986199248</t>
  </si>
  <si>
    <t>MB Bank, Ngô Quyền, Hải Phòng</t>
  </si>
  <si>
    <t>Trần Văn Lai</t>
  </si>
  <si>
    <t>MB Bank, Thanh Hóa</t>
  </si>
  <si>
    <t>1021064252</t>
  </si>
  <si>
    <t>Vietcombank, Giao Thủy, Nam Định</t>
  </si>
  <si>
    <t>Thành Anh Duy</t>
  </si>
  <si>
    <t xml:space="preserve"> Dương Công Song</t>
  </si>
  <si>
    <t>Mai Thanh Hiếu</t>
  </si>
  <si>
    <t>4900205217830</t>
  </si>
  <si>
    <t>Agribank, Ninh Thuận</t>
  </si>
  <si>
    <t>1022661591</t>
  </si>
  <si>
    <t>Hồ Thị Thanh Hoa</t>
  </si>
  <si>
    <t>Vietcombank, Lệ Thủy, Quảng Bình</t>
  </si>
  <si>
    <t>104871862754</t>
  </si>
  <si>
    <t>Vietinbank, cn Thảo Điền, Thủ Đức, HCM</t>
  </si>
  <si>
    <t>80001693574</t>
  </si>
  <si>
    <t>MSB, cn Óc Eo - An Giang</t>
  </si>
  <si>
    <t>Võ Thị Út</t>
  </si>
  <si>
    <t>THÁNG 8 - 2025 (Tính vào chi phí đào tạo)</t>
  </si>
  <si>
    <t>Vũ Tuấn Anh</t>
  </si>
  <si>
    <t>Ng. Đình Hương</t>
  </si>
  <si>
    <t>Lên 10/8/25</t>
  </si>
  <si>
    <t>Ngô Văn Quyền</t>
  </si>
  <si>
    <t>Mai Huy Du</t>
  </si>
  <si>
    <t>Ng. Viết Quang</t>
  </si>
  <si>
    <t>Hồ Thân Minh</t>
  </si>
  <si>
    <t>Kiều Quốc Huy</t>
  </si>
  <si>
    <t>Nguyễn Văn Diễn</t>
  </si>
  <si>
    <t>Lê Văn Trọng</t>
  </si>
  <si>
    <t>Dương Đình Trường</t>
  </si>
  <si>
    <t>Lê Văn Giác</t>
  </si>
  <si>
    <t>Lê Quốc Thảo</t>
  </si>
  <si>
    <t>Elect.O</t>
  </si>
  <si>
    <t>Ng. Văn Luật</t>
  </si>
  <si>
    <t>Bùi Trung Hiếu</t>
  </si>
  <si>
    <t>Hoàng Văn Hiệp</t>
  </si>
  <si>
    <t>Lên 13/8/25</t>
  </si>
  <si>
    <t>Trần Quốc Anh</t>
  </si>
  <si>
    <t>Thái Văn Dương</t>
  </si>
  <si>
    <t>Trần Hồng Tự</t>
  </si>
  <si>
    <t>Bùi Hoàng Phú</t>
  </si>
  <si>
    <t>Nguyễn Đức Điển</t>
  </si>
  <si>
    <t>Phạm Hoàng Hải</t>
  </si>
  <si>
    <t>Trịnh Thế Hùng</t>
  </si>
  <si>
    <t>Lên 18/8/25</t>
  </si>
  <si>
    <t>Trần Văn Long</t>
  </si>
  <si>
    <t>T170</t>
  </si>
  <si>
    <t>Đoàn Hữu Tuyên</t>
  </si>
  <si>
    <t>Trần Trung Hiến</t>
  </si>
  <si>
    <t>Phan Ngọc Trưởng</t>
  </si>
  <si>
    <t>Võ Văn Mão</t>
  </si>
  <si>
    <t>Vũ Thái Hoàng</t>
  </si>
  <si>
    <t>Nguyễn Đình Hương</t>
  </si>
  <si>
    <t>Nguyễn Viết Quang</t>
  </si>
  <si>
    <t xml:space="preserve"> Dương Đình Trường</t>
  </si>
  <si>
    <t>Nguyễn Văn Luật</t>
  </si>
  <si>
    <t>0359036012</t>
  </si>
  <si>
    <t>Coop Bank, Nghệ An</t>
  </si>
  <si>
    <t>0961393184</t>
  </si>
  <si>
    <t>MB Bank, Bình Thuận</t>
  </si>
  <si>
    <t>9988269788</t>
  </si>
  <si>
    <t>Vietcombank, pgd Kim Đồng, Hà Nội</t>
  </si>
  <si>
    <t>Nguyễn Thị Quý</t>
  </si>
  <si>
    <t>19029760758018</t>
  </si>
  <si>
    <t>Techcombank, Kiến An, Hải Phòng</t>
  </si>
  <si>
    <t>Bùi Thị Lan Hương</t>
  </si>
  <si>
    <t>9363405263</t>
  </si>
  <si>
    <t>2107205025564</t>
  </si>
  <si>
    <t>Agribank, Vĩnh Bảo Đông, Hải Phòng</t>
  </si>
  <si>
    <t>0291000299998</t>
  </si>
  <si>
    <t>Vietcombank, Bắc Gia Lai, Gia Lai</t>
  </si>
  <si>
    <t>19036841898015</t>
  </si>
  <si>
    <t>Techcombank, Thái Bình, Hưng Yên</t>
  </si>
  <si>
    <t>4814205327206</t>
  </si>
  <si>
    <t>Agribank, Tánh Linh, Bình Thuận</t>
  </si>
  <si>
    <t>0031000137000</t>
  </si>
  <si>
    <t>0101001073449</t>
  </si>
  <si>
    <t>Thái Thị Nguyệt</t>
  </si>
  <si>
    <t>0333025333</t>
  </si>
  <si>
    <t>Lâm Thị Thanh Loan</t>
  </si>
  <si>
    <t>Vietinbank, pgd Vĩnh Bảo, Hải Phòng</t>
  </si>
  <si>
    <t>3606205295317</t>
  </si>
  <si>
    <t>Agribank, Yên Thành, Nghệ An</t>
  </si>
  <si>
    <t>Lê Đình Quế</t>
  </si>
  <si>
    <t>0351000792267</t>
  </si>
  <si>
    <t>Vietcombank, Phổ Yên, Thái Nguyên</t>
  </si>
  <si>
    <t>Dương Thị Ngọc</t>
  </si>
  <si>
    <t>108874298528</t>
  </si>
  <si>
    <t>Hồ Thị Lan</t>
  </si>
  <si>
    <t>19027023262025</t>
  </si>
  <si>
    <t>Techcombank, Vinh, Nghệ An</t>
  </si>
  <si>
    <t>Trần Thị Tố Hương</t>
  </si>
  <si>
    <t>3519205161372</t>
  </si>
  <si>
    <t>3529205229180</t>
  </si>
  <si>
    <t>Agribank, Thanh Hóa</t>
  </si>
  <si>
    <t>700009199495</t>
  </si>
  <si>
    <t>Shinhanbank, Phổ Yên, Thái Nguyên</t>
  </si>
  <si>
    <t>Nguyễn Thị Mai Hương</t>
  </si>
  <si>
    <t>112704070016749</t>
  </si>
  <si>
    <t>Trần Thị Phượng</t>
  </si>
  <si>
    <t>9768391983</t>
  </si>
  <si>
    <t>Techcombank, Hồng Bàng, Hải Phòng</t>
  </si>
  <si>
    <t>0031000396577</t>
  </si>
  <si>
    <t>Phạm Thị Thúy</t>
  </si>
  <si>
    <t>106883588260</t>
  </si>
  <si>
    <t>Vietinbank, Vinh, Nghệ An</t>
  </si>
  <si>
    <t>Bùi Thị Thu Hiển</t>
  </si>
  <si>
    <t>2310215007833</t>
  </si>
  <si>
    <t>Agribank, Gia Lộc 1, Hải Phòng</t>
  </si>
  <si>
    <t>Phạm Thị Khánh</t>
  </si>
  <si>
    <t>3604205422100</t>
  </si>
  <si>
    <t>Agribank, Quỳnh Phú, Nghệ An</t>
  </si>
  <si>
    <t>Trần Thị Loan</t>
  </si>
  <si>
    <t>109874690043</t>
  </si>
  <si>
    <t>Vietinbank, pgd Đông Hòa, Đắc Lắk</t>
  </si>
  <si>
    <t>160214849164537</t>
  </si>
  <si>
    <t>Eximbank, Đô Lương, Nghệ An</t>
  </si>
  <si>
    <t>Nguyễn Thị Lành</t>
  </si>
  <si>
    <t>3209205477629</t>
  </si>
  <si>
    <t>Agribank, Cồn, Ninh Bình</t>
  </si>
  <si>
    <t>Nguyễn Thị Phượng</t>
  </si>
  <si>
    <t>0560134558003</t>
  </si>
  <si>
    <t>MB Bank, Hoàng Quốc Việt, Hà Nội</t>
  </si>
  <si>
    <t>Nguyễn Thị Thắm</t>
  </si>
  <si>
    <t>B/sung lg</t>
  </si>
  <si>
    <t>Lê Ngọc Lương</t>
  </si>
  <si>
    <t xml:space="preserve"> Dư Thành Giảo</t>
  </si>
  <si>
    <t>Vũ Khắc Ấn</t>
  </si>
  <si>
    <t>T406</t>
  </si>
  <si>
    <t>Phạm Phú Khánh</t>
  </si>
  <si>
    <t>Lên 14/9/25</t>
  </si>
  <si>
    <t>Phạm Văn Thắng</t>
  </si>
  <si>
    <t>Bùi Anh Phúc</t>
  </si>
  <si>
    <t>040050330682</t>
  </si>
  <si>
    <t>Sacombank, Ba Đồn, Quảng Bình</t>
  </si>
  <si>
    <t>Nguyễn Thị Hiền</t>
  </si>
  <si>
    <t>Dư Thành Giảo</t>
  </si>
  <si>
    <t>6720151119</t>
  </si>
  <si>
    <t>BIDV, Nam Đồng Nai, Đồng Nai</t>
  </si>
  <si>
    <t>Phạm Thị Hường</t>
  </si>
  <si>
    <t>0200810092608</t>
  </si>
  <si>
    <t>MB Bank, cn Thái Bình, Hưng Yên</t>
  </si>
  <si>
    <t>3405205368340</t>
  </si>
  <si>
    <t>Agribank, Đông Hưng, Hưng Yên</t>
  </si>
  <si>
    <t>107870234511</t>
  </si>
  <si>
    <t>Vietinbank, Vĩnh Bảo, Hải Phòng</t>
  </si>
  <si>
    <t>Đỗ Thị Mỹ Linh</t>
  </si>
  <si>
    <t>Đặng Văn Thiệp</t>
  </si>
  <si>
    <t>Lê Công Sơn</t>
  </si>
  <si>
    <t>Phạm Phương Nam</t>
  </si>
  <si>
    <t>Châu Anh Tú</t>
  </si>
  <si>
    <t>Vũ Văn Bắc</t>
  </si>
  <si>
    <t>Phạm Xuân Trường</t>
  </si>
  <si>
    <t>Lê Văn Nghĩa</t>
  </si>
  <si>
    <t>Ng. Hồng Sơn</t>
  </si>
  <si>
    <t>Ng. Quang Dũng</t>
  </si>
  <si>
    <t>Lê Hồng Sơn</t>
  </si>
  <si>
    <t>Trần Ngọc Khải</t>
  </si>
  <si>
    <t>Trần Minh Thanh</t>
  </si>
  <si>
    <t>MB14/QĐ.RB.045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</si>
  <si>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indexed="8"/>
        <rFont val="Times New Roman"/>
        <family val="1"/>
      </rPr>
      <t xml:space="preserve">             </t>
    </r>
    <r>
      <rPr>
        <sz val="11"/>
        <color indexed="10"/>
        <rFont val="Arial"/>
        <family val="2"/>
      </rPr>
      <t xml:space="preserve">                       </t>
    </r>
  </si>
  <si>
    <t>LỆNH CHI</t>
  </si>
  <si>
    <t>Số:</t>
  </si>
  <si>
    <t xml:space="preserve">Ngày: </t>
  </si>
  <si>
    <t>Địa chỉ: 36-38, Nguyễn Trường Tộ, Phường Xóm Chiếu, Thành Phố Hồ Chí Minh</t>
  </si>
  <si>
    <t>STT</t>
  </si>
  <si>
    <t>Tên Đơn vị hưởng</t>
  </si>
  <si>
    <t>Số tài khoản hưởng</t>
  </si>
  <si>
    <t>Ngân hàng hưởng</t>
  </si>
  <si>
    <t>Số tiền</t>
  </si>
  <si>
    <t>Nội dung</t>
  </si>
  <si>
    <t xml:space="preserve">SỐ ĐK </t>
  </si>
  <si>
    <t xml:space="preserve">HỌ VÀ TÊN TV </t>
  </si>
  <si>
    <t>TỔNG</t>
  </si>
  <si>
    <r>
      <t xml:space="preserve">Phí chuyển tiền:           X </t>
    </r>
    <r>
      <rPr>
        <sz val="11.5"/>
        <color indexed="8"/>
        <rFont val="Times New Roman"/>
        <family val="1"/>
      </rPr>
      <t xml:space="preserve">  Người chuyển chịu phí                     □ Người hưởng chịu phí.</t>
    </r>
  </si>
  <si>
    <t>Chủ tải khoản</t>
  </si>
  <si>
    <t>Nguyễn Hồng Sơn</t>
  </si>
  <si>
    <t>Nguyễn Quang Dũng</t>
  </si>
  <si>
    <t>3405205153971</t>
  </si>
  <si>
    <t>Agribank, Đông Hưng, Thái Bình</t>
  </si>
  <si>
    <t>Tạ Thị Chung</t>
  </si>
  <si>
    <t>2110760073</t>
  </si>
  <si>
    <t>BIDV, Hà Nội</t>
  </si>
  <si>
    <t>3130213464</t>
  </si>
  <si>
    <t>BIDV, Bắc Sài Gòn, HCM</t>
  </si>
  <si>
    <t>7601029080</t>
  </si>
  <si>
    <t>BIDV, pgd Vũng Tàu, HCM</t>
  </si>
  <si>
    <t>0384386571</t>
  </si>
  <si>
    <t>NH Cổ phần Hàng Hải, Hải Phòng</t>
  </si>
  <si>
    <t>Nguyễn Thị Lương</t>
  </si>
  <si>
    <t>3405801041971</t>
  </si>
  <si>
    <t>Đào Thị Hoàn</t>
  </si>
  <si>
    <t>2603205351418</t>
  </si>
  <si>
    <t>Agribank, Từ Sơn, Bắc Ninh</t>
  </si>
  <si>
    <t>Nguyễn Thị Ly</t>
  </si>
  <si>
    <t>105870339048</t>
  </si>
  <si>
    <t>Vietinbank, Cửa Lò, Nghệ An</t>
  </si>
  <si>
    <t>19037617480011</t>
  </si>
  <si>
    <t>Techcombank, Lộc Hòa, Nam Định, Ninh Bình</t>
  </si>
  <si>
    <t>24351167</t>
  </si>
  <si>
    <t>ACB, Tp. HCM</t>
  </si>
  <si>
    <t>108875008452</t>
  </si>
  <si>
    <t>Vietinbank, Phổ Yên, Thái Nguyên</t>
  </si>
  <si>
    <t>3210205038457</t>
  </si>
  <si>
    <t>Agribank, Mỹ Lộc, Ninh Bình</t>
  </si>
  <si>
    <t>5811192093</t>
  </si>
  <si>
    <t>BIDV, Phú Tài, Gia Lai</t>
  </si>
  <si>
    <t>Hoàng Văn Trường</t>
  </si>
  <si>
    <t>Phan Văn Bảo</t>
  </si>
  <si>
    <t>Lên 4/10/25</t>
  </si>
  <si>
    <r>
      <rPr>
        <sz val="11"/>
        <rFont val="Times New Roman"/>
        <family val="1"/>
      </rPr>
      <t xml:space="preserve">Số lượng tài khoản chi trả </t>
    </r>
    <r>
      <rPr>
        <b/>
        <sz val="11"/>
        <rFont val="Times New Roman"/>
        <family val="1"/>
      </rPr>
      <t>: 22 TV</t>
    </r>
  </si>
  <si>
    <t>Phụ cấp thu</t>
  </si>
  <si>
    <t>hút SQTV</t>
  </si>
  <si>
    <t>Phụ cấp theo</t>
  </si>
  <si>
    <t>vùng hoạt động</t>
  </si>
  <si>
    <t>Doan Thi Hai</t>
  </si>
  <si>
    <t>19033054412017</t>
  </si>
  <si>
    <t>Techcombank, Hoàng Quốc Việt, Hà Nội</t>
  </si>
  <si>
    <t>5130609441</t>
  </si>
  <si>
    <t>BIDV, Nghệ An</t>
  </si>
  <si>
    <r>
      <rPr>
        <sz val="11"/>
        <rFont val="Times New Roman"/>
        <family val="1"/>
      </rPr>
      <t xml:space="preserve">Số lượng tài khoản chi trả </t>
    </r>
    <r>
      <rPr>
        <b/>
        <sz val="11"/>
        <rFont val="Times New Roman"/>
        <family val="1"/>
      </rPr>
      <t>: 23 TV</t>
    </r>
  </si>
  <si>
    <t>Trương Văn Điệp</t>
  </si>
  <si>
    <t>Cao Xuân Ánh</t>
  </si>
  <si>
    <t>Vũ Văn Tuyền</t>
  </si>
  <si>
    <t>Lên 1/11/25</t>
  </si>
  <si>
    <t>Tên khách hàng : INLACO SAIGON</t>
  </si>
  <si>
    <t>Số tài khoản : 042 01 01 505902 1</t>
  </si>
  <si>
    <t>Tại Ngân hàng : TMCP Hàng Hải Việt Nam Chi nhánh/PGD Đô Thành</t>
  </si>
  <si>
    <t>Địa chỉ Chi nhánh thực hiện giao dịch : 230 Nam Kỳ Khởi Nghĩa, Phường Xuân Hòa, TP. HCM</t>
  </si>
  <si>
    <t>Địa chỉ : 36-38, Nguyễn Trường Tộ, Phường Xóm Chiếu, Thành Phố Hồ Chí Minh</t>
  </si>
  <si>
    <t>THÁNG 11 - 2025 (Tính vào chi phí đào tạo)</t>
  </si>
  <si>
    <t>Nguyễn Văn Sỹ</t>
  </si>
  <si>
    <t>Nguyễn Văn  Sỹ</t>
  </si>
  <si>
    <t>Nguyễn Thị Xuôi</t>
  </si>
  <si>
    <t>0936919302</t>
  </si>
  <si>
    <t>BIDV, Ân Thi, Hưng Yên</t>
  </si>
  <si>
    <t>Hà Thị Vân</t>
  </si>
  <si>
    <t>5903205504468</t>
  </si>
  <si>
    <t>Agribank, Biên Hòa, Đồng Nai</t>
  </si>
  <si>
    <t>19036304713017</t>
  </si>
  <si>
    <t>Techcombank, Tiên Minh, Hải Phòng</t>
  </si>
  <si>
    <t>Phạm Đại Dương</t>
  </si>
  <si>
    <t>Bùi Hữu Thức</t>
  </si>
  <si>
    <t>Lên 16/12/25</t>
  </si>
  <si>
    <t>Ng. Thành Trung</t>
  </si>
  <si>
    <t>Lên 01/12/25</t>
  </si>
  <si>
    <t>chuyển OLR 1/12/25</t>
  </si>
  <si>
    <t>Nguyễn Thành Trung</t>
  </si>
  <si>
    <t>Tp. Hồ Chí Minh, ngày          tháng       năm 2026</t>
  </si>
  <si>
    <t>Tp. Hồ Chí Minh, ngày       tháng       năm 2026</t>
  </si>
  <si>
    <t>Võ Thị Hồng Tươi</t>
  </si>
  <si>
    <t>102005442708</t>
  </si>
  <si>
    <t>Vietinbank, cn 12, HCM</t>
  </si>
  <si>
    <t>Vietcombank, Ngô Quyền, Hải Phòng</t>
  </si>
  <si>
    <t>Vũ Thị Hà My</t>
  </si>
  <si>
    <t>1050676728</t>
  </si>
  <si>
    <t>Vietcombank, Tiên Lãng, Hải Phòng</t>
  </si>
  <si>
    <t>Ng. Phùng Linh</t>
  </si>
  <si>
    <t>Ng. Văn Cường</t>
  </si>
  <si>
    <t>Nguyễn Phùng Linh</t>
  </si>
  <si>
    <t>Nguyễn Văn Cường</t>
  </si>
  <si>
    <t>103878007225</t>
  </si>
  <si>
    <t>Vietinbank, Hải Phòng</t>
  </si>
  <si>
    <t>Nguyễn Thị Duyên</t>
  </si>
  <si>
    <t>3519205410621</t>
  </si>
  <si>
    <t>3'</t>
  </si>
  <si>
    <t>Lên 4/2/26</t>
  </si>
  <si>
    <t>4'</t>
  </si>
  <si>
    <t>Ng. Quang Huy</t>
  </si>
  <si>
    <t>Lê Văn Thục</t>
  </si>
  <si>
    <t>Tiêu Hoàng Minh</t>
  </si>
  <si>
    <t>Ng. Văn Đông</t>
  </si>
  <si>
    <t>Đỗ Trung Kiên</t>
  </si>
  <si>
    <t>Hoàng Ngọc Tú</t>
  </si>
  <si>
    <t>Lưu Văn Quý</t>
  </si>
  <si>
    <t>20'</t>
  </si>
  <si>
    <t>Ng. Duy Khánh</t>
  </si>
  <si>
    <t>Số tiền bằng chữ : Sáu trăm bốn mươi ba triệu bốn trăm mười ba ngàn hai trăm đồng.</t>
  </si>
  <si>
    <r>
      <rPr>
        <sz val="11"/>
        <rFont val="Times New Roman"/>
        <family val="1"/>
      </rPr>
      <t xml:space="preserve">Tổng số tiền bằng số </t>
    </r>
    <r>
      <rPr>
        <b/>
        <sz val="11"/>
        <rFont val="Times New Roman"/>
        <family val="1"/>
      </rPr>
      <t>: 643,413,200 VNĐ</t>
    </r>
  </si>
  <si>
    <r>
      <rPr>
        <sz val="11"/>
        <rFont val="Times New Roman"/>
        <family val="1"/>
      </rPr>
      <t xml:space="preserve">Tổng số tiền bằng số </t>
    </r>
    <r>
      <rPr>
        <b/>
        <sz val="11"/>
        <rFont val="Times New Roman"/>
        <family val="1"/>
      </rPr>
      <t>: 791,302,315 VNĐ</t>
    </r>
  </si>
  <si>
    <t>Số tiền bằng chữ : Bảy trăm chín mươi mốt triệu ba trăm linh hai ngàn ba trăm mười lăm đồng.</t>
  </si>
  <si>
    <r>
      <rPr>
        <sz val="11"/>
        <rFont val="Times New Roman"/>
        <family val="1"/>
      </rPr>
      <t xml:space="preserve">Số lượng tài khoản chi trả </t>
    </r>
    <r>
      <rPr>
        <b/>
        <sz val="11"/>
        <rFont val="Times New Roman"/>
        <family val="1"/>
      </rPr>
      <t>: 21 TV</t>
    </r>
  </si>
  <si>
    <r>
      <rPr>
        <sz val="11"/>
        <rFont val="Times New Roman"/>
        <family val="1"/>
      </rPr>
      <t xml:space="preserve">Tổng số tiền bằng số </t>
    </r>
    <r>
      <rPr>
        <b/>
        <sz val="11"/>
        <rFont val="Times New Roman"/>
        <family val="1"/>
      </rPr>
      <t>: 733,032,130 VNĐ</t>
    </r>
  </si>
  <si>
    <t>Số tiền bằng chữ : Bảy trăm ba mươi ba triệu không trăm ba mươi hai ngàn một trăm ba mươi đồng.</t>
  </si>
  <si>
    <r>
      <rPr>
        <sz val="11"/>
        <rFont val="Times New Roman"/>
        <family val="1"/>
      </rPr>
      <t xml:space="preserve">Tổng số tiền bằng số </t>
    </r>
    <r>
      <rPr>
        <b/>
        <sz val="11"/>
        <rFont val="Times New Roman"/>
        <family val="1"/>
      </rPr>
      <t>: 740,734,800</t>
    </r>
    <r>
      <rPr>
        <sz val="12"/>
        <rFont val="Times New Roman"/>
        <family val="1"/>
      </rPr>
      <t xml:space="preserve"> </t>
    </r>
    <r>
      <rPr>
        <b/>
        <sz val="11"/>
        <rFont val="Times New Roman"/>
        <family val="1"/>
      </rPr>
      <t>VNĐ</t>
    </r>
  </si>
  <si>
    <t>Số tiền bằng chữ : Bảy trăm bốn mươi triệu bảy trăm ba mươi bốn ngàn tám trăm đồng.</t>
  </si>
  <si>
    <t>Nguyễn Quang Huy</t>
  </si>
  <si>
    <t>Nguyễn Văn Đông</t>
  </si>
  <si>
    <t>Nguyễn Duy Khánh</t>
  </si>
  <si>
    <r>
      <rPr>
        <sz val="11"/>
        <rFont val="Times New Roman"/>
        <family val="1"/>
      </rPr>
      <t xml:space="preserve">Số lượng tài khoản chi trả </t>
    </r>
    <r>
      <rPr>
        <b/>
        <sz val="11"/>
        <rFont val="Times New Roman"/>
        <family val="1"/>
      </rPr>
      <t>: 28 TV</t>
    </r>
  </si>
  <si>
    <r>
      <rPr>
        <sz val="11"/>
        <rFont val="Times New Roman"/>
        <family val="1"/>
      </rPr>
      <t xml:space="preserve">Tổng số tiền bằng số </t>
    </r>
    <r>
      <rPr>
        <b/>
        <sz val="11"/>
        <rFont val="Times New Roman"/>
        <family val="1"/>
      </rPr>
      <t>: 615,445,614 VNĐ</t>
    </r>
  </si>
  <si>
    <t>Số tiền bằng chữ : Sáu trăm mười lăm triệu bốn trăm bốn mươi lăm ngàn sáu trăm mười bốn đồng.</t>
  </si>
  <si>
    <t>1350244785</t>
  </si>
  <si>
    <t>BIDV, Thạnh Mỹ Tây, HCM</t>
  </si>
  <si>
    <t>Lê Thị Hằng</t>
  </si>
  <si>
    <t>3500205204375</t>
  </si>
  <si>
    <t>7444197113</t>
  </si>
  <si>
    <t>Techcombank, Thanh Hóa</t>
  </si>
  <si>
    <t>19036455902016</t>
  </si>
  <si>
    <t>Techcombank, Chùa Láng, Hà Nội</t>
  </si>
  <si>
    <t>Hoàng Thị Quế</t>
  </si>
  <si>
    <t>2004201040738</t>
  </si>
  <si>
    <t>Agribank, Sơn Trà, Đà Nẵng</t>
  </si>
  <si>
    <t>Nguyễn Thị Lê Giang</t>
  </si>
  <si>
    <t>19037024109013</t>
  </si>
  <si>
    <t>Techcombank, Hưng Yên (Thái Bình cũ)</t>
  </si>
  <si>
    <t>Lương Thị Nhàn</t>
  </si>
  <si>
    <t>104006532285</t>
  </si>
  <si>
    <t>Vietinbank, Quảng Ninh</t>
  </si>
  <si>
    <t>9288183668</t>
  </si>
  <si>
    <t>MB Bank, Hải Phòng (Hải Dương cũ)</t>
  </si>
  <si>
    <t>THÁNG 3 - 2026</t>
  </si>
  <si>
    <t>2'</t>
  </si>
  <si>
    <t>Lên 11/3/26</t>
  </si>
  <si>
    <t>Nguyễn Văn Quý</t>
  </si>
  <si>
    <t>Phạm Ngọc Tuyền</t>
  </si>
  <si>
    <t>Trần Tuấn Kiệt</t>
  </si>
  <si>
    <t>13'</t>
  </si>
  <si>
    <t>19'</t>
  </si>
  <si>
    <t>6979018011998</t>
  </si>
  <si>
    <t>MB Bank, Phổ Yên, Thái Nguyên</t>
  </si>
  <si>
    <t>LƯƠNG ĐLGĐ CỦA TV MV AQUAMARINE T3.2026</t>
  </si>
  <si>
    <t>9209091995</t>
  </si>
  <si>
    <t>MB Bank, Phụ Dực, Hưng Yên</t>
  </si>
  <si>
    <t>39017407</t>
  </si>
  <si>
    <t>ACB, Cao Lãnh, Đồng Tháp</t>
  </si>
  <si>
    <r>
      <rPr>
        <b/>
        <sz val="12"/>
        <color indexed="10"/>
        <rFont val="Times New Roman"/>
        <family val="1"/>
      </rPr>
      <t xml:space="preserve">Nội dung thanh toán </t>
    </r>
    <r>
      <rPr>
        <b/>
        <sz val="12"/>
        <rFont val="Times New Roman"/>
        <family val="1"/>
      </rPr>
      <t>: Thanh toán tiền lương để lại gia đình T3/2026 của TV tàu Inlaco Bright</t>
    </r>
  </si>
  <si>
    <t>LƯƠNG ĐLGĐ CỦA TV MV I.BRIGHT T3.2026</t>
  </si>
  <si>
    <r>
      <rPr>
        <b/>
        <sz val="12"/>
        <color indexed="10"/>
        <rFont val="Times New Roman"/>
        <family val="1"/>
      </rPr>
      <t xml:space="preserve">Nội dung thanh toán </t>
    </r>
    <r>
      <rPr>
        <b/>
        <sz val="12"/>
        <rFont val="Times New Roman"/>
        <family val="1"/>
      </rPr>
      <t>: Thanh toán tiền lương để lại gia đình T3/2026 của TV tàu Inlaco Harmony</t>
    </r>
  </si>
  <si>
    <t>LƯƠNG ĐLGĐ CỦA TV MV I.HARMONY T3.2026</t>
  </si>
  <si>
    <r>
      <rPr>
        <b/>
        <sz val="12"/>
        <color indexed="10"/>
        <rFont val="Times New Roman"/>
        <family val="1"/>
      </rPr>
      <t xml:space="preserve">Nội dung thanh toán </t>
    </r>
    <r>
      <rPr>
        <b/>
        <sz val="12"/>
        <rFont val="Times New Roman"/>
        <family val="1"/>
      </rPr>
      <t>: Thanh toán tiền lương để lại gia đình T3/2026 của TV tàu Inlaco Express</t>
    </r>
  </si>
  <si>
    <t>LƯƠNG ĐLGĐ CỦA TV MV I.EXPRESS T3.2026</t>
  </si>
  <si>
    <r>
      <rPr>
        <b/>
        <sz val="12"/>
        <color indexed="10"/>
        <rFont val="Times New Roman"/>
        <family val="1"/>
      </rPr>
      <t xml:space="preserve">Nội dung thanh toán </t>
    </r>
    <r>
      <rPr>
        <b/>
        <sz val="12"/>
        <rFont val="Times New Roman"/>
        <family val="1"/>
      </rPr>
      <t>: Thanh toán tiền lương để lại gia đình T3/2026 của TV tàu Thanh Thủy</t>
    </r>
  </si>
  <si>
    <t>LƯƠNG ĐLGĐ CỦA TV MV T. THỦY T3.2026</t>
  </si>
  <si>
    <r>
      <rPr>
        <b/>
        <sz val="12"/>
        <color indexed="10"/>
        <rFont val="Times New Roman"/>
        <family val="1"/>
      </rPr>
      <t xml:space="preserve">Nội dung thanh toán </t>
    </r>
    <r>
      <rPr>
        <b/>
        <sz val="12"/>
        <rFont val="Times New Roman"/>
        <family val="1"/>
      </rPr>
      <t>: Thanh toán tiền lương để lại gia đình T3/2026 của TV tàu Aquamarine</t>
    </r>
  </si>
  <si>
    <t>20620127</t>
  </si>
  <si>
    <t>ACB, Vạn Xuân, Thái Nguyên</t>
  </si>
  <si>
    <t>Bổ sung lg</t>
  </si>
  <si>
    <t>3"</t>
  </si>
  <si>
    <t>Trần Chí Hiếu</t>
  </si>
  <si>
    <t>6'</t>
  </si>
  <si>
    <t>Đặng Thanh Tùng</t>
  </si>
  <si>
    <t>16'</t>
  </si>
  <si>
    <t>Phạm Trung Kiên</t>
  </si>
  <si>
    <t>1'</t>
  </si>
  <si>
    <t>Trần Văn Thông</t>
  </si>
  <si>
    <r>
      <rPr>
        <sz val="11"/>
        <rFont val="Times New Roman"/>
        <family val="1"/>
      </rPr>
      <t xml:space="preserve">Số lượng tài khoản chi trả </t>
    </r>
    <r>
      <rPr>
        <b/>
        <sz val="11"/>
        <rFont val="Times New Roman"/>
        <family val="1"/>
      </rPr>
      <t>: 19 TV</t>
    </r>
  </si>
  <si>
    <t>THÁNG 3 - 2026 (Tính vào chi phí đào tạo)</t>
  </si>
  <si>
    <t>KHAU TRỪ BHXH</t>
  </si>
  <si>
    <t>KHẤU TRỪ ĐPCĐ</t>
  </si>
  <si>
    <t>Lương ĐLGĐ</t>
  </si>
  <si>
    <t>Phân bổ lương ĐLGĐ</t>
  </si>
  <si>
    <t>HD Bank, Quế Võ, Bắc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</si>
</sst>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16"/>
      <name val="Times New Roman"/>
      <family val="1"/>
    </font>
    <font>
      <sz val="11"/>
      <color indexed="9"/>
      <name val="Times New Roman"/>
      <family val="1"/>
    </font>
    <font>
      <sz val="11"/>
      <color theme="0"/>
      <name val="Times New Roman"/>
      <family val="1"/>
    </font>
    <font>
      <b/>
      <i/>
      <sz val="10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color indexed="9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1"/>
      <color theme="1"/>
      <name val="Times New Roman"/>
      <family val="1"/>
    </font>
    <font>
      <sz val="11"/>
      <color rgb="FFFF0000"/>
      <name val="Arial"/>
      <family val="2"/>
    </font>
    <font>
      <sz val="12"/>
      <color indexed="8"/>
      <name val="Times New Roman"/>
      <family val="1"/>
    </font>
    <font>
      <sz val="11"/>
      <color indexed="10"/>
      <name val="Arial"/>
      <family val="2"/>
    </font>
    <font>
      <b/>
      <sz val="16"/>
      <name val="Calibri"/>
      <family val="2"/>
    </font>
    <font>
      <sz val="10"/>
      <name val="Arial"/>
      <family val="2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b/>
      <sz val="12"/>
      <color rgb="FF000000"/>
      <name val="Times New Roman"/>
      <family val="1"/>
    </font>
    <font>
      <sz val="11.5"/>
      <color theme="1"/>
      <name val="Times New Roman"/>
      <family val="1"/>
    </font>
    <font>
      <sz val="11.5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.5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</cellStyleXfs>
  <cellXfs count="17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49" fontId="3" fillId="0" borderId="5" xfId="0" applyNumberFormat="1" applyFont="1" applyBorder="1" applyAlignment="1">
      <alignment horizontal="center"/>
    </xf>
    <xf numFmtId="3" fontId="3" fillId="0" borderId="5" xfId="0" applyNumberFormat="1" applyFont="1" applyBorder="1"/>
    <xf numFmtId="3" fontId="3" fillId="0" borderId="3" xfId="0" applyNumberFormat="1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3" fontId="3" fillId="0" borderId="0" xfId="0" applyNumberFormat="1" applyFont="1"/>
    <xf numFmtId="4" fontId="11" fillId="0" borderId="0" xfId="0" applyNumberFormat="1" applyFont="1"/>
    <xf numFmtId="4" fontId="12" fillId="2" borderId="0" xfId="0" applyNumberFormat="1" applyFont="1" applyFill="1"/>
    <xf numFmtId="4" fontId="3" fillId="0" borderId="0" xfId="0" applyNumberFormat="1" applyFont="1"/>
    <xf numFmtId="14" fontId="3" fillId="0" borderId="0" xfId="0" applyNumberFormat="1" applyFont="1"/>
    <xf numFmtId="3" fontId="12" fillId="0" borderId="0" xfId="0" applyNumberFormat="1" applyFont="1"/>
    <xf numFmtId="4" fontId="13" fillId="0" borderId="0" xfId="0" applyNumberFormat="1" applyFont="1"/>
    <xf numFmtId="3" fontId="14" fillId="0" borderId="0" xfId="0" applyNumberFormat="1" applyFont="1" applyAlignment="1">
      <alignment horizontal="right"/>
    </xf>
    <xf numFmtId="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vertical="center"/>
    </xf>
    <xf numFmtId="3" fontId="4" fillId="0" borderId="9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vertical="center"/>
    </xf>
    <xf numFmtId="3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vertical="center"/>
    </xf>
    <xf numFmtId="4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" fontId="4" fillId="0" borderId="12" xfId="0" applyNumberFormat="1" applyFont="1" applyBorder="1" applyAlignment="1">
      <alignment horizontal="left" vertical="center"/>
    </xf>
    <xf numFmtId="3" fontId="4" fillId="0" borderId="12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4" fontId="10" fillId="0" borderId="8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4" fontId="10" fillId="0" borderId="7" xfId="0" applyNumberFormat="1" applyFont="1" applyBorder="1" applyAlignment="1">
      <alignment horizontal="center" vertical="center" wrapText="1"/>
    </xf>
    <xf numFmtId="3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4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/>
    </xf>
    <xf numFmtId="14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right" vertical="center"/>
    </xf>
    <xf numFmtId="0" fontId="16" fillId="0" borderId="0" xfId="0" applyFont="1"/>
    <xf numFmtId="14" fontId="16" fillId="0" borderId="0" xfId="0" applyNumberFormat="1" applyFont="1"/>
    <xf numFmtId="14" fontId="4" fillId="0" borderId="0" xfId="0" applyNumberFormat="1" applyFont="1"/>
    <xf numFmtId="3" fontId="13" fillId="0" borderId="0" xfId="0" applyNumberFormat="1" applyFont="1"/>
    <xf numFmtId="3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left" vertical="center"/>
    </xf>
    <xf numFmtId="3" fontId="10" fillId="0" borderId="11" xfId="0" applyNumberFormat="1" applyFont="1" applyBorder="1" applyAlignment="1">
      <alignment horizontal="center" vertical="center"/>
    </xf>
    <xf numFmtId="3" fontId="12" fillId="2" borderId="0" xfId="0" applyNumberFormat="1" applyFont="1" applyFill="1" applyAlignment="1">
      <alignment horizontal="center"/>
    </xf>
    <xf numFmtId="3" fontId="17" fillId="0" borderId="0" xfId="0" applyNumberFormat="1" applyFont="1"/>
    <xf numFmtId="14" fontId="4" fillId="0" borderId="5" xfId="0" applyNumberFormat="1" applyFont="1" applyBorder="1" applyAlignment="1">
      <alignment horizontal="center" vertical="center"/>
    </xf>
    <xf numFmtId="3" fontId="10" fillId="0" borderId="6" xfId="0" applyNumberFormat="1" applyFont="1" applyBorder="1" applyAlignment="1">
      <alignment horizontal="left" vertical="center"/>
    </xf>
    <xf numFmtId="3" fontId="18" fillId="0" borderId="0" xfId="0" applyNumberFormat="1" applyFont="1" applyAlignment="1">
      <alignment horizontal="center" vertical="center"/>
    </xf>
    <xf numFmtId="3" fontId="4" fillId="0" borderId="0" xfId="0" applyNumberFormat="1" applyFont="1"/>
    <xf numFmtId="4" fontId="9" fillId="0" borderId="7" xfId="0" applyNumberFormat="1" applyFont="1" applyBorder="1" applyAlignment="1">
      <alignment horizontal="center" vertical="center" wrapText="1"/>
    </xf>
    <xf numFmtId="4" fontId="4" fillId="0" borderId="0" xfId="0" applyNumberFormat="1" applyFont="1" applyAlignment="1">
      <alignment vertical="center" wrapText="1"/>
    </xf>
    <xf numFmtId="3" fontId="10" fillId="0" borderId="6" xfId="0" applyNumberFormat="1" applyFont="1" applyBorder="1" applyAlignment="1">
      <alignment horizontal="center" vertical="center"/>
    </xf>
    <xf numFmtId="4" fontId="17" fillId="2" borderId="0" xfId="0" applyNumberFormat="1" applyFont="1" applyFill="1"/>
    <xf numFmtId="4" fontId="4" fillId="0" borderId="0" xfId="0" applyNumberFormat="1" applyFont="1"/>
    <xf numFmtId="3" fontId="18" fillId="0" borderId="2" xfId="0" applyNumberFormat="1" applyFont="1" applyBorder="1" applyAlignment="1">
      <alignment horizontal="center" vertical="center"/>
    </xf>
    <xf numFmtId="4" fontId="19" fillId="0" borderId="0" xfId="0" applyNumberFormat="1" applyFont="1"/>
    <xf numFmtId="1" fontId="10" fillId="0" borderId="11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4" fontId="11" fillId="0" borderId="0" xfId="0" applyNumberFormat="1" applyFont="1" applyAlignment="1">
      <alignment vertical="center"/>
    </xf>
    <xf numFmtId="3" fontId="13" fillId="3" borderId="0" xfId="0" applyNumberFormat="1" applyFont="1" applyFill="1"/>
    <xf numFmtId="4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4" fontId="10" fillId="0" borderId="7" xfId="0" applyNumberFormat="1" applyFont="1" applyBorder="1" applyAlignment="1">
      <alignment vertical="center"/>
    </xf>
    <xf numFmtId="3" fontId="10" fillId="0" borderId="8" xfId="0" applyNumberFormat="1" applyFont="1" applyBorder="1" applyAlignment="1">
      <alignment horizontal="left" vertical="center"/>
    </xf>
    <xf numFmtId="4" fontId="10" fillId="0" borderId="8" xfId="0" applyNumberFormat="1" applyFont="1" applyBorder="1" applyAlignment="1">
      <alignment horizontal="left" vertical="center"/>
    </xf>
    <xf numFmtId="4" fontId="10" fillId="0" borderId="7" xfId="0" applyNumberFormat="1" applyFont="1" applyBorder="1" applyAlignment="1">
      <alignment horizontal="left" vertical="center" wrapText="1"/>
    </xf>
    <xf numFmtId="4" fontId="10" fillId="0" borderId="0" xfId="0" applyNumberFormat="1" applyFont="1" applyAlignment="1">
      <alignment vertical="center"/>
    </xf>
    <xf numFmtId="3" fontId="4" fillId="0" borderId="11" xfId="0" applyNumberFormat="1" applyFont="1" applyBorder="1" applyAlignment="1">
      <alignment horizontal="center" vertical="center"/>
    </xf>
    <xf numFmtId="49" fontId="4" fillId="0" borderId="3" xfId="0" applyNumberFormat="1" applyFont="1" applyBorder="1"/>
    <xf numFmtId="4" fontId="4" fillId="0" borderId="0" xfId="0" applyNumberFormat="1" applyFont="1" applyAlignment="1">
      <alignment horizontal="left" vertical="center" wrapText="1"/>
    </xf>
    <xf numFmtId="3" fontId="19" fillId="0" borderId="0" xfId="0" applyNumberFormat="1" applyFont="1"/>
    <xf numFmtId="4" fontId="20" fillId="0" borderId="3" xfId="0" applyNumberFormat="1" applyFont="1" applyBorder="1" applyAlignment="1">
      <alignment vertical="center"/>
    </xf>
    <xf numFmtId="4" fontId="20" fillId="0" borderId="12" xfId="0" applyNumberFormat="1" applyFont="1" applyBorder="1" applyAlignment="1">
      <alignment vertical="center"/>
    </xf>
    <xf numFmtId="4" fontId="20" fillId="0" borderId="5" xfId="0" applyNumberFormat="1" applyFont="1" applyBorder="1" applyAlignment="1">
      <alignment vertical="center"/>
    </xf>
    <xf numFmtId="3" fontId="9" fillId="0" borderId="6" xfId="0" applyNumberFormat="1" applyFont="1" applyBorder="1" applyAlignment="1">
      <alignment horizontal="left" vertical="center"/>
    </xf>
    <xf numFmtId="3" fontId="9" fillId="0" borderId="8" xfId="0" applyNumberFormat="1" applyFont="1" applyBorder="1" applyAlignment="1">
      <alignment horizontal="center" vertical="center"/>
    </xf>
    <xf numFmtId="4" fontId="9" fillId="0" borderId="8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3" fontId="9" fillId="0" borderId="11" xfId="0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4" fontId="18" fillId="0" borderId="3" xfId="0" applyNumberFormat="1" applyFont="1" applyBorder="1" applyAlignment="1">
      <alignment horizontal="left" vertical="center"/>
    </xf>
    <xf numFmtId="4" fontId="4" fillId="0" borderId="13" xfId="0" applyNumberFormat="1" applyFont="1" applyBorder="1" applyAlignment="1">
      <alignment vertical="center"/>
    </xf>
    <xf numFmtId="4" fontId="4" fillId="0" borderId="10" xfId="0" applyNumberFormat="1" applyFont="1" applyBorder="1" applyAlignment="1">
      <alignment vertical="center"/>
    </xf>
    <xf numFmtId="4" fontId="4" fillId="0" borderId="14" xfId="0" applyNumberFormat="1" applyFont="1" applyBorder="1" applyAlignment="1">
      <alignment vertical="center"/>
    </xf>
    <xf numFmtId="49" fontId="20" fillId="0" borderId="3" xfId="0" applyNumberFormat="1" applyFont="1" applyBorder="1" applyAlignment="1">
      <alignment vertical="center"/>
    </xf>
    <xf numFmtId="49" fontId="20" fillId="0" borderId="5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/>
    </xf>
    <xf numFmtId="4" fontId="18" fillId="0" borderId="5" xfId="0" applyNumberFormat="1" applyFont="1" applyBorder="1" applyAlignment="1">
      <alignment horizontal="left" vertical="center"/>
    </xf>
    <xf numFmtId="164" fontId="1" fillId="0" borderId="0" xfId="1" applyNumberFormat="1" applyFont="1" applyBorder="1"/>
    <xf numFmtId="0" fontId="23" fillId="0" borderId="0" xfId="0" applyFont="1" applyAlignment="1">
      <alignment horizontal="justify"/>
    </xf>
    <xf numFmtId="0" fontId="24" fillId="0" borderId="0" xfId="0" applyFont="1"/>
    <xf numFmtId="0" fontId="25" fillId="0" borderId="0" xfId="0" applyFont="1" applyAlignment="1">
      <alignment horizontal="justify"/>
    </xf>
    <xf numFmtId="164" fontId="1" fillId="0" borderId="0" xfId="1" applyNumberFormat="1" applyFont="1"/>
    <xf numFmtId="164" fontId="1" fillId="0" borderId="0" xfId="1" applyNumberFormat="1" applyFont="1" applyAlignment="1"/>
    <xf numFmtId="164" fontId="24" fillId="0" borderId="0" xfId="1" applyNumberFormat="1" applyFont="1" applyAlignment="1"/>
    <xf numFmtId="0" fontId="7" fillId="0" borderId="0" xfId="2" applyFont="1"/>
    <xf numFmtId="0" fontId="5" fillId="0" borderId="0" xfId="2" applyFont="1"/>
    <xf numFmtId="164" fontId="3" fillId="0" borderId="0" xfId="3" applyNumberFormat="1" applyFont="1" applyFill="1"/>
    <xf numFmtId="164" fontId="10" fillId="0" borderId="0" xfId="0" applyNumberFormat="1" applyFont="1"/>
    <xf numFmtId="1" fontId="3" fillId="0" borderId="0" xfId="2" applyNumberFormat="1" applyFont="1"/>
    <xf numFmtId="164" fontId="31" fillId="0" borderId="0" xfId="1" applyNumberFormat="1" applyFont="1" applyFill="1" applyAlignment="1">
      <alignment horizontal="left"/>
    </xf>
    <xf numFmtId="0" fontId="31" fillId="0" borderId="0" xfId="2" applyFont="1"/>
    <xf numFmtId="0" fontId="4" fillId="0" borderId="0" xfId="2" applyFont="1"/>
    <xf numFmtId="0" fontId="29" fillId="0" borderId="0" xfId="2"/>
    <xf numFmtId="0" fontId="4" fillId="0" borderId="3" xfId="0" applyFont="1" applyBorder="1"/>
    <xf numFmtId="0" fontId="24" fillId="0" borderId="7" xfId="0" applyFont="1" applyBorder="1"/>
    <xf numFmtId="164" fontId="5" fillId="0" borderId="7" xfId="1" applyNumberFormat="1" applyFont="1" applyFill="1" applyBorder="1" applyAlignment="1">
      <alignment horizontal="left" vertical="center"/>
    </xf>
    <xf numFmtId="0" fontId="32" fillId="0" borderId="0" xfId="0" applyFont="1" applyAlignment="1">
      <alignment horizontal="center" wrapText="1"/>
    </xf>
    <xf numFmtId="164" fontId="4" fillId="0" borderId="0" xfId="1" applyNumberFormat="1" applyFont="1" applyFill="1" applyBorder="1" applyAlignment="1">
      <alignment horizontal="left" vertical="center"/>
    </xf>
    <xf numFmtId="0" fontId="35" fillId="0" borderId="0" xfId="0" applyFont="1" applyAlignment="1">
      <alignment horizontal="left"/>
    </xf>
    <xf numFmtId="164" fontId="35" fillId="0" borderId="0" xfId="1" applyNumberFormat="1" applyFont="1" applyAlignment="1">
      <alignment horizontal="left"/>
    </xf>
    <xf numFmtId="164" fontId="35" fillId="0" borderId="0" xfId="1" applyNumberFormat="1" applyFont="1"/>
    <xf numFmtId="0" fontId="36" fillId="0" borderId="0" xfId="0" applyFont="1"/>
    <xf numFmtId="0" fontId="37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39" fillId="0" borderId="7" xfId="0" applyFont="1" applyBorder="1" applyAlignment="1">
      <alignment horizontal="center" vertical="center" wrapText="1"/>
    </xf>
    <xf numFmtId="164" fontId="39" fillId="0" borderId="7" xfId="1" applyNumberFormat="1" applyFont="1" applyBorder="1" applyAlignment="1">
      <alignment horizontal="center" vertical="center" wrapText="1"/>
    </xf>
    <xf numFmtId="0" fontId="0" fillId="0" borderId="7" xfId="0" applyBorder="1"/>
    <xf numFmtId="0" fontId="37" fillId="0" borderId="0" xfId="0" applyFont="1"/>
    <xf numFmtId="0" fontId="38" fillId="0" borderId="0" xfId="0" applyFont="1" applyAlignment="1">
      <alignment horizontal="left"/>
    </xf>
    <xf numFmtId="0" fontId="41" fillId="0" borderId="3" xfId="0" applyFont="1" applyBorder="1" applyAlignment="1">
      <alignment horizontal="center"/>
    </xf>
    <xf numFmtId="0" fontId="8" fillId="0" borderId="3" xfId="0" applyFont="1" applyBorder="1"/>
    <xf numFmtId="49" fontId="8" fillId="0" borderId="3" xfId="0" applyNumberFormat="1" applyFont="1" applyBorder="1" applyAlignment="1">
      <alignment horizontal="center"/>
    </xf>
    <xf numFmtId="3" fontId="8" fillId="0" borderId="3" xfId="0" applyNumberFormat="1" applyFont="1" applyBorder="1"/>
    <xf numFmtId="0" fontId="8" fillId="0" borderId="3" xfId="0" applyFont="1" applyBorder="1" applyAlignment="1">
      <alignment horizontal="center"/>
    </xf>
    <xf numFmtId="0" fontId="40" fillId="0" borderId="3" xfId="0" applyFont="1" applyBorder="1"/>
    <xf numFmtId="0" fontId="29" fillId="0" borderId="0" xfId="0" applyFont="1"/>
    <xf numFmtId="0" fontId="40" fillId="0" borderId="12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3" fillId="0" borderId="15" xfId="0" applyFont="1" applyBorder="1"/>
    <xf numFmtId="49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2" fillId="0" borderId="6" xfId="0" applyFont="1" applyBorder="1" applyAlignment="1">
      <alignment horizontal="center" wrapText="1"/>
    </xf>
    <xf numFmtId="0" fontId="32" fillId="0" borderId="8" xfId="0" applyFont="1" applyBorder="1" applyAlignment="1">
      <alignment horizontal="center" wrapText="1"/>
    </xf>
    <xf numFmtId="0" fontId="32" fillId="0" borderId="11" xfId="0" applyFont="1" applyBorder="1" applyAlignment="1">
      <alignment horizontal="center" wrapText="1"/>
    </xf>
  </cellXfs>
  <cellStyles count="4">
    <cellStyle name="Comma" xfId="1" builtinId="3"/>
    <cellStyle name="Comma 2" xfId="3" xr:uid="{DD9E699D-7010-4A3D-B34D-BE83B9CD5CDF}"/>
    <cellStyle name="Normal" xfId="0" builtinId="0"/>
    <cellStyle name="Normal 2" xfId="2" xr:uid="{3709CFE2-C3DC-45BD-A78E-C15728FB1D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885825</xdr:colOff>
      <xdr:row>1</xdr:row>
      <xdr:rowOff>0</xdr:rowOff>
    </xdr:from>
    <xdr:to>
      <xdr:col>5</xdr:col>
      <xdr:colOff>1200150</xdr:colOff>
      <xdr:row>4</xdr:row>
      <xdr:rowOff>171450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36254058-87AB-4A88-BFFF-DBA04F749A2D}"/>
            </a:ext>
          </a:extLst>
        </xdr:cNvPr>
        <xdr:cNvSpPr txBox="1">
          <a:spLocks noChangeArrowheads="1"/>
        </xdr:cNvSpPr>
      </xdr:nvSpPr>
      <xdr:spPr bwMode="auto">
        <a:xfrm>
          <a:off x="3686175" y="190500"/>
          <a:ext cx="3848100" cy="6858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</xdr:colOff>
      <xdr:row>1</xdr:row>
      <xdr:rowOff>66675</xdr:rowOff>
    </xdr:from>
    <xdr:to>
      <xdr:col>7</xdr:col>
      <xdr:colOff>38100</xdr:colOff>
      <xdr:row>4</xdr:row>
      <xdr:rowOff>180975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9B728E35-121C-4555-A295-4973EEAF5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486"/>
        <a:stretch>
          <a:fillRect/>
        </a:stretch>
      </xdr:blipFill>
      <xdr:spPr bwMode="auto">
        <a:xfrm>
          <a:off x="9525" y="257175"/>
          <a:ext cx="8372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885825</xdr:colOff>
      <xdr:row>69</xdr:row>
      <xdr:rowOff>0</xdr:rowOff>
    </xdr:from>
    <xdr:to>
      <xdr:col>5</xdr:col>
      <xdr:colOff>1200150</xdr:colOff>
      <xdr:row>72</xdr:row>
      <xdr:rowOff>171450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716DB512-DBB7-4D57-9A7D-E782868FAC0A}"/>
            </a:ext>
          </a:extLst>
        </xdr:cNvPr>
        <xdr:cNvSpPr txBox="1">
          <a:spLocks noChangeArrowheads="1"/>
        </xdr:cNvSpPr>
      </xdr:nvSpPr>
      <xdr:spPr bwMode="auto">
        <a:xfrm>
          <a:off x="3562350" y="190500"/>
          <a:ext cx="3838575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</xdr:colOff>
      <xdr:row>69</xdr:row>
      <xdr:rowOff>66675</xdr:rowOff>
    </xdr:from>
    <xdr:to>
      <xdr:col>7</xdr:col>
      <xdr:colOff>38100</xdr:colOff>
      <xdr:row>72</xdr:row>
      <xdr:rowOff>180975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8221961C-B3F6-4D76-853F-8DA3170F4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486"/>
        <a:stretch>
          <a:fillRect/>
        </a:stretch>
      </xdr:blipFill>
      <xdr:spPr bwMode="auto">
        <a:xfrm>
          <a:off x="9525" y="257175"/>
          <a:ext cx="81915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885825</xdr:colOff>
      <xdr:row>134</xdr:row>
      <xdr:rowOff>0</xdr:rowOff>
    </xdr:from>
    <xdr:to>
      <xdr:col>5</xdr:col>
      <xdr:colOff>1200150</xdr:colOff>
      <xdr:row>137</xdr:row>
      <xdr:rowOff>171450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43179430-FC3F-45A2-9012-9AF99989522C}"/>
            </a:ext>
          </a:extLst>
        </xdr:cNvPr>
        <xdr:cNvSpPr txBox="1">
          <a:spLocks noChangeArrowheads="1"/>
        </xdr:cNvSpPr>
      </xdr:nvSpPr>
      <xdr:spPr bwMode="auto">
        <a:xfrm>
          <a:off x="3895725" y="13611225"/>
          <a:ext cx="3924300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</xdr:colOff>
      <xdr:row>134</xdr:row>
      <xdr:rowOff>66675</xdr:rowOff>
    </xdr:from>
    <xdr:to>
      <xdr:col>7</xdr:col>
      <xdr:colOff>38100</xdr:colOff>
      <xdr:row>137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38F78D-2834-4579-8E4D-6EB0DE3C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486"/>
        <a:stretch>
          <a:fillRect/>
        </a:stretch>
      </xdr:blipFill>
      <xdr:spPr bwMode="auto">
        <a:xfrm>
          <a:off x="9525" y="13677900"/>
          <a:ext cx="101346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885825</xdr:colOff>
      <xdr:row>202</xdr:row>
      <xdr:rowOff>0</xdr:rowOff>
    </xdr:from>
    <xdr:to>
      <xdr:col>5</xdr:col>
      <xdr:colOff>1200150</xdr:colOff>
      <xdr:row>205</xdr:row>
      <xdr:rowOff>171450</xdr:rowOff>
    </xdr:to>
    <xdr:sp macro="" textlink="">
      <xdr:nvSpPr>
        <xdr:cNvPr id="8" name="Text Box 4">
          <a:extLst>
            <a:ext uri="{FF2B5EF4-FFF2-40B4-BE49-F238E27FC236}">
              <a16:creationId xmlns:a16="http://schemas.microsoft.com/office/drawing/2014/main" id="{F5C1B344-A5E7-44D6-876C-424840089C03}"/>
            </a:ext>
          </a:extLst>
        </xdr:cNvPr>
        <xdr:cNvSpPr txBox="1">
          <a:spLocks noChangeArrowheads="1"/>
        </xdr:cNvSpPr>
      </xdr:nvSpPr>
      <xdr:spPr bwMode="auto">
        <a:xfrm>
          <a:off x="3895725" y="27060525"/>
          <a:ext cx="3924300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</xdr:colOff>
      <xdr:row>202</xdr:row>
      <xdr:rowOff>66675</xdr:rowOff>
    </xdr:from>
    <xdr:to>
      <xdr:col>7</xdr:col>
      <xdr:colOff>38100</xdr:colOff>
      <xdr:row>205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6135D6-6565-46AB-91B8-18E088A0E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486"/>
        <a:stretch>
          <a:fillRect/>
        </a:stretch>
      </xdr:blipFill>
      <xdr:spPr bwMode="auto">
        <a:xfrm>
          <a:off x="9525" y="27127200"/>
          <a:ext cx="102298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885825</xdr:colOff>
      <xdr:row>269</xdr:row>
      <xdr:rowOff>0</xdr:rowOff>
    </xdr:from>
    <xdr:to>
      <xdr:col>5</xdr:col>
      <xdr:colOff>1200150</xdr:colOff>
      <xdr:row>272</xdr:row>
      <xdr:rowOff>171450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128A2171-B36D-441A-B781-86922245B4E2}"/>
            </a:ext>
          </a:extLst>
        </xdr:cNvPr>
        <xdr:cNvSpPr txBox="1">
          <a:spLocks noChangeArrowheads="1"/>
        </xdr:cNvSpPr>
      </xdr:nvSpPr>
      <xdr:spPr bwMode="auto">
        <a:xfrm>
          <a:off x="3895725" y="40643175"/>
          <a:ext cx="3924300" cy="742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</xdr:colOff>
      <xdr:row>269</xdr:row>
      <xdr:rowOff>66675</xdr:rowOff>
    </xdr:from>
    <xdr:to>
      <xdr:col>7</xdr:col>
      <xdr:colOff>38100</xdr:colOff>
      <xdr:row>272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15BCBC-12D1-4F5B-BEFD-0A5772B4D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486"/>
        <a:stretch>
          <a:fillRect/>
        </a:stretch>
      </xdr:blipFill>
      <xdr:spPr bwMode="auto">
        <a:xfrm>
          <a:off x="9525" y="40709850"/>
          <a:ext cx="102298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uu/BHXH%202026/BHXH%20T3-26.xlsx" TargetMode="External"/><Relationship Id="rId2" Type="http://schemas.openxmlformats.org/officeDocument/2006/relationships/externalLinkPath" Target="file:///D:\luu\BHXH%202026\BHXH%20T3-26.xlsx" TargetMode="External"/><Relationship Id="rId1" Type="http://schemas.openxmlformats.org/officeDocument/2006/relationships/externalLinkPath" Target="/luu/BHXH%202026/BHXH%20T3-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uu/CONG%20DOAN%2026/2026.xlsx" TargetMode="External"/><Relationship Id="rId2" Type="http://schemas.openxmlformats.org/officeDocument/2006/relationships/externalLinkPath" Target="file:///D:\luu\CONG%20DOAN%2026\2026.xlsx" TargetMode="External"/><Relationship Id="rId1" Type="http://schemas.openxmlformats.org/officeDocument/2006/relationships/externalLinkPath" Target="/luu/CONG%20DOAN%2026/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uu/BHXH%202025/BHXH%20T11-25.xlsx" TargetMode="External"/><Relationship Id="rId2" Type="http://schemas.openxmlformats.org/officeDocument/2006/relationships/externalLinkPath" Target="file:///D:\luu\BHXH%202025\BHXH%20T11-25.xlsx" TargetMode="External"/><Relationship Id="rId1" Type="http://schemas.openxmlformats.org/officeDocument/2006/relationships/externalLinkPath" Target="/luu/BHXH%202025/BHXH%20T11-25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uu/CONG%20DOAN%2025/Nam%2025.xlsx" TargetMode="External"/><Relationship Id="rId2" Type="http://schemas.openxmlformats.org/officeDocument/2006/relationships/externalLinkPath" Target="file:///D:\luu\CONG%20DOAN%2025\Nam%2025.xlsx" TargetMode="External"/><Relationship Id="rId1" Type="http://schemas.openxmlformats.org/officeDocument/2006/relationships/externalLinkPath" Target="/luu/CONG%20DOAN%2025/Nam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Đi tàu"/>
      <sheetName val="Dự trữ"/>
      <sheetName val="TV ngừng đóng"/>
      <sheetName val="Đối chiếu"/>
    </sheetNames>
    <sheetDataSet>
      <sheetData sheetId="0">
        <row r="7">
          <cell r="B7">
            <v>2114</v>
          </cell>
          <cell r="C7" t="str">
            <v>Vũ Hồng Quyết</v>
          </cell>
          <cell r="D7" t="str">
            <v>Capt.</v>
          </cell>
          <cell r="E7">
            <v>12000000</v>
          </cell>
          <cell r="F7">
            <v>1080000</v>
          </cell>
        </row>
        <row r="8">
          <cell r="B8">
            <v>1613</v>
          </cell>
          <cell r="C8" t="str">
            <v>Đào Ngọc Dưỡng</v>
          </cell>
          <cell r="D8" t="str">
            <v>C/O</v>
          </cell>
          <cell r="E8">
            <v>9000000</v>
          </cell>
          <cell r="F8">
            <v>810000</v>
          </cell>
        </row>
        <row r="9">
          <cell r="B9">
            <v>1449</v>
          </cell>
          <cell r="C9" t="str">
            <v>Lê Văn Cường</v>
          </cell>
          <cell r="D9" t="str">
            <v>2/O</v>
          </cell>
          <cell r="E9">
            <v>8000000</v>
          </cell>
          <cell r="F9">
            <v>720000</v>
          </cell>
        </row>
        <row r="10">
          <cell r="B10">
            <v>3050</v>
          </cell>
          <cell r="C10" t="str">
            <v>Phạm Đại Dương</v>
          </cell>
          <cell r="D10" t="str">
            <v>3/O</v>
          </cell>
          <cell r="E10">
            <v>7500000</v>
          </cell>
          <cell r="F10">
            <v>675000</v>
          </cell>
        </row>
        <row r="11">
          <cell r="B11">
            <v>1572</v>
          </cell>
          <cell r="C11" t="str">
            <v>Nguyễn Văn Trung</v>
          </cell>
          <cell r="D11" t="str">
            <v>C/E</v>
          </cell>
          <cell r="E11">
            <v>11500000</v>
          </cell>
          <cell r="F11">
            <v>1035000</v>
          </cell>
        </row>
        <row r="12">
          <cell r="B12">
            <v>1699</v>
          </cell>
          <cell r="C12" t="str">
            <v>Nguyễn Văn Tuấn</v>
          </cell>
          <cell r="D12" t="str">
            <v>1/E</v>
          </cell>
          <cell r="E12">
            <v>9000000</v>
          </cell>
          <cell r="F12">
            <v>810000</v>
          </cell>
        </row>
        <row r="13">
          <cell r="B13">
            <v>1137</v>
          </cell>
          <cell r="C13" t="str">
            <v>Nguyễn Thành Trung</v>
          </cell>
          <cell r="D13" t="str">
            <v>2/E</v>
          </cell>
          <cell r="E13">
            <v>8000000</v>
          </cell>
          <cell r="F13">
            <v>720000</v>
          </cell>
        </row>
        <row r="14">
          <cell r="B14">
            <v>1512</v>
          </cell>
          <cell r="C14" t="str">
            <v>Đặng Đức Nhuận</v>
          </cell>
          <cell r="D14" t="str">
            <v>BSN</v>
          </cell>
          <cell r="E14">
            <v>6500000</v>
          </cell>
          <cell r="F14">
            <v>585000</v>
          </cell>
        </row>
        <row r="15">
          <cell r="B15">
            <v>2757</v>
          </cell>
          <cell r="C15" t="str">
            <v>Nguyễn Đức Toàn</v>
          </cell>
          <cell r="D15" t="str">
            <v>AB</v>
          </cell>
          <cell r="E15">
            <v>6000000</v>
          </cell>
          <cell r="F15">
            <v>540000</v>
          </cell>
        </row>
        <row r="16">
          <cell r="B16">
            <v>2904</v>
          </cell>
          <cell r="C16" t="str">
            <v>Hoàng Văn Hiệp</v>
          </cell>
          <cell r="D16" t="str">
            <v>AB</v>
          </cell>
          <cell r="E16">
            <v>6000000</v>
          </cell>
          <cell r="F16">
            <v>540000</v>
          </cell>
        </row>
        <row r="17">
          <cell r="B17">
            <v>2963</v>
          </cell>
          <cell r="C17" t="str">
            <v>Nguyễn Văn Sỹ</v>
          </cell>
          <cell r="D17" t="str">
            <v>AB</v>
          </cell>
          <cell r="E17">
            <v>6000000</v>
          </cell>
          <cell r="F17">
            <v>540000</v>
          </cell>
        </row>
        <row r="18">
          <cell r="B18">
            <v>2987</v>
          </cell>
          <cell r="C18" t="str">
            <v>Nguyễn Trường Thắng</v>
          </cell>
          <cell r="D18" t="str">
            <v>AB</v>
          </cell>
          <cell r="E18">
            <v>6000000</v>
          </cell>
          <cell r="F18">
            <v>540000</v>
          </cell>
        </row>
        <row r="19">
          <cell r="B19">
            <v>3032</v>
          </cell>
          <cell r="C19" t="str">
            <v>Trần Văn Đạt</v>
          </cell>
          <cell r="D19" t="str">
            <v>OS</v>
          </cell>
          <cell r="E19">
            <v>6000000</v>
          </cell>
          <cell r="F19">
            <v>540000</v>
          </cell>
        </row>
        <row r="20">
          <cell r="B20">
            <v>2826</v>
          </cell>
          <cell r="C20" t="str">
            <v>Bùi Hữu Thức</v>
          </cell>
          <cell r="D20" t="str">
            <v>No.1</v>
          </cell>
          <cell r="E20">
            <v>6500000</v>
          </cell>
          <cell r="F20">
            <v>585000</v>
          </cell>
        </row>
        <row r="21">
          <cell r="B21">
            <v>2877</v>
          </cell>
          <cell r="C21" t="str">
            <v>Trương Văn Điệp</v>
          </cell>
          <cell r="D21" t="str">
            <v>OLR</v>
          </cell>
          <cell r="E21">
            <v>6000000</v>
          </cell>
          <cell r="F21">
            <v>540000</v>
          </cell>
        </row>
        <row r="22">
          <cell r="B22">
            <v>2813</v>
          </cell>
          <cell r="C22" t="str">
            <v>Hoàng Mạnh Cường</v>
          </cell>
          <cell r="D22" t="str">
            <v>OLR</v>
          </cell>
          <cell r="E22">
            <v>6000000</v>
          </cell>
          <cell r="F22">
            <v>540000</v>
          </cell>
        </row>
        <row r="23">
          <cell r="B23">
            <v>2796</v>
          </cell>
          <cell r="C23" t="str">
            <v>Cao Xuân Ánh</v>
          </cell>
          <cell r="D23" t="str">
            <v>OLR</v>
          </cell>
          <cell r="E23">
            <v>6000000</v>
          </cell>
          <cell r="F23">
            <v>540000</v>
          </cell>
        </row>
        <row r="24">
          <cell r="B24">
            <v>1756</v>
          </cell>
          <cell r="C24" t="str">
            <v>Võ Hoàng Khanh</v>
          </cell>
          <cell r="D24" t="str">
            <v>C/C</v>
          </cell>
          <cell r="E24">
            <v>6500000</v>
          </cell>
          <cell r="F24">
            <v>585000</v>
          </cell>
        </row>
        <row r="25">
          <cell r="B25">
            <v>3047</v>
          </cell>
          <cell r="C25" t="str">
            <v>Vũ Văn Tuyền</v>
          </cell>
          <cell r="D25" t="str">
            <v>M/M</v>
          </cell>
          <cell r="E25">
            <v>6000000</v>
          </cell>
          <cell r="F25">
            <v>540000</v>
          </cell>
        </row>
        <row r="26">
          <cell r="B26">
            <v>3036</v>
          </cell>
          <cell r="C26" t="str">
            <v>Trần Quốc Anh</v>
          </cell>
          <cell r="D26" t="str">
            <v>A.OS</v>
          </cell>
          <cell r="E26">
            <v>6000000</v>
          </cell>
          <cell r="F26">
            <v>540000</v>
          </cell>
        </row>
        <row r="27">
          <cell r="B27" t="str">
            <v>TV334</v>
          </cell>
          <cell r="C27" t="str">
            <v>Nguyễn Văn San</v>
          </cell>
          <cell r="D27" t="str">
            <v>3/E</v>
          </cell>
          <cell r="E27">
            <v>7500000</v>
          </cell>
          <cell r="F27">
            <v>2062500</v>
          </cell>
        </row>
        <row r="28">
          <cell r="B28"/>
          <cell r="C28" t="str">
            <v>Tổng cộng</v>
          </cell>
          <cell r="D28"/>
          <cell r="E28">
            <v>152000000</v>
          </cell>
          <cell r="F28">
            <v>15067500</v>
          </cell>
        </row>
        <row r="29">
          <cell r="B29" t="str">
            <v>Tàu Inlaco Harmony</v>
          </cell>
          <cell r="C29"/>
          <cell r="D29"/>
          <cell r="E29"/>
          <cell r="F29"/>
        </row>
        <row r="30">
          <cell r="B30">
            <v>1003</v>
          </cell>
          <cell r="C30" t="str">
            <v>Đặng Văn Thiệp</v>
          </cell>
          <cell r="D30" t="str">
            <v>Capt.</v>
          </cell>
          <cell r="E30">
            <v>12000000</v>
          </cell>
          <cell r="F30">
            <v>1080000</v>
          </cell>
        </row>
        <row r="31">
          <cell r="B31">
            <v>1857</v>
          </cell>
          <cell r="C31" t="str">
            <v>Lê Công Sơn</v>
          </cell>
          <cell r="D31" t="str">
            <v>C/O</v>
          </cell>
          <cell r="E31">
            <v>9000000</v>
          </cell>
          <cell r="F31">
            <v>810000</v>
          </cell>
        </row>
        <row r="32">
          <cell r="B32">
            <v>3006</v>
          </cell>
          <cell r="C32" t="str">
            <v>Thái Văn Dương</v>
          </cell>
          <cell r="D32" t="str">
            <v>2/O</v>
          </cell>
          <cell r="E32">
            <v>8000000</v>
          </cell>
          <cell r="F32">
            <v>720000</v>
          </cell>
        </row>
        <row r="33">
          <cell r="B33">
            <v>1853</v>
          </cell>
          <cell r="C33" t="str">
            <v>Nguyễn Hồng Sơn</v>
          </cell>
          <cell r="D33" t="str">
            <v>3/O</v>
          </cell>
          <cell r="E33">
            <v>7500000</v>
          </cell>
          <cell r="F33">
            <v>675000</v>
          </cell>
        </row>
        <row r="34">
          <cell r="B34">
            <v>744</v>
          </cell>
          <cell r="C34" t="str">
            <v>Phạm Phương Nam</v>
          </cell>
          <cell r="D34" t="str">
            <v>C/E</v>
          </cell>
          <cell r="E34">
            <v>11500000</v>
          </cell>
          <cell r="F34">
            <v>1035000</v>
          </cell>
        </row>
        <row r="35">
          <cell r="B35">
            <v>1565</v>
          </cell>
          <cell r="C35" t="str">
            <v>Trần Hồng Tự</v>
          </cell>
          <cell r="D35" t="str">
            <v>1/E</v>
          </cell>
          <cell r="E35">
            <v>9000000</v>
          </cell>
          <cell r="F35">
            <v>810000</v>
          </cell>
        </row>
        <row r="36">
          <cell r="B36">
            <v>2920</v>
          </cell>
          <cell r="C36" t="str">
            <v>Châu Anh Tú</v>
          </cell>
          <cell r="D36" t="str">
            <v>2/E</v>
          </cell>
          <cell r="E36">
            <v>8000000</v>
          </cell>
          <cell r="F36">
            <v>720000</v>
          </cell>
        </row>
        <row r="37">
          <cell r="B37">
            <v>2690</v>
          </cell>
          <cell r="C37" t="str">
            <v>Bùi Hoàng Phú</v>
          </cell>
          <cell r="D37" t="str">
            <v>3/E</v>
          </cell>
          <cell r="E37">
            <v>7500000</v>
          </cell>
          <cell r="F37">
            <v>675000</v>
          </cell>
        </row>
        <row r="38">
          <cell r="B38">
            <v>1440</v>
          </cell>
          <cell r="C38" t="str">
            <v>Vũ Văn Bắc</v>
          </cell>
          <cell r="D38" t="str">
            <v>BSN</v>
          </cell>
          <cell r="E38">
            <v>6500000</v>
          </cell>
          <cell r="F38">
            <v>585000</v>
          </cell>
        </row>
        <row r="39">
          <cell r="B39">
            <v>2782</v>
          </cell>
          <cell r="C39" t="str">
            <v>Phạm Xuân Trường</v>
          </cell>
          <cell r="D39" t="str">
            <v>AB</v>
          </cell>
          <cell r="E39">
            <v>6000000</v>
          </cell>
          <cell r="F39">
            <v>540000</v>
          </cell>
        </row>
        <row r="40">
          <cell r="B40">
            <v>2872</v>
          </cell>
          <cell r="C40" t="str">
            <v>Lê Văn Nghĩa</v>
          </cell>
          <cell r="D40" t="str">
            <v>AB</v>
          </cell>
          <cell r="E40">
            <v>6000000</v>
          </cell>
          <cell r="F40">
            <v>540000</v>
          </cell>
        </row>
        <row r="41">
          <cell r="B41">
            <v>2538</v>
          </cell>
          <cell r="C41" t="str">
            <v>Lê Hồng Sơn</v>
          </cell>
          <cell r="D41" t="str">
            <v>AB</v>
          </cell>
          <cell r="E41">
            <v>6000000</v>
          </cell>
          <cell r="F41">
            <v>540000</v>
          </cell>
        </row>
        <row r="42">
          <cell r="B42">
            <v>3041</v>
          </cell>
          <cell r="C42" t="str">
            <v>Nguyễn Quang Dũng</v>
          </cell>
          <cell r="D42" t="str">
            <v>OS</v>
          </cell>
          <cell r="E42">
            <v>6000000</v>
          </cell>
          <cell r="F42">
            <v>540000</v>
          </cell>
        </row>
        <row r="43">
          <cell r="B43">
            <v>1375</v>
          </cell>
          <cell r="C43" t="str">
            <v>Nguyễn Đức Điển</v>
          </cell>
          <cell r="D43" t="str">
            <v>No.1</v>
          </cell>
          <cell r="E43">
            <v>6500000</v>
          </cell>
          <cell r="F43">
            <v>585000</v>
          </cell>
        </row>
        <row r="44">
          <cell r="B44">
            <v>2547</v>
          </cell>
          <cell r="C44" t="str">
            <v>Nguyễn Văn Khanh</v>
          </cell>
          <cell r="D44" t="str">
            <v>OLR</v>
          </cell>
          <cell r="E44">
            <v>6000000</v>
          </cell>
          <cell r="F44">
            <v>540000</v>
          </cell>
        </row>
        <row r="45">
          <cell r="B45">
            <v>2706</v>
          </cell>
          <cell r="C45" t="str">
            <v>Trần Ngọc Khải</v>
          </cell>
          <cell r="D45" t="str">
            <v>OLR</v>
          </cell>
          <cell r="E45">
            <v>6000000</v>
          </cell>
          <cell r="F45">
            <v>540000</v>
          </cell>
        </row>
        <row r="46">
          <cell r="B46">
            <v>2760</v>
          </cell>
          <cell r="C46" t="str">
            <v>Phạm Hoàng Hải</v>
          </cell>
          <cell r="D46" t="str">
            <v>OLR</v>
          </cell>
          <cell r="E46">
            <v>6000000</v>
          </cell>
          <cell r="F46">
            <v>540000</v>
          </cell>
        </row>
        <row r="47">
          <cell r="B47">
            <v>2095</v>
          </cell>
          <cell r="C47" t="str">
            <v>Trần Minh Thanh</v>
          </cell>
          <cell r="D47" t="str">
            <v>C/C</v>
          </cell>
          <cell r="E47">
            <v>6500000</v>
          </cell>
          <cell r="F47">
            <v>585000</v>
          </cell>
        </row>
        <row r="48">
          <cell r="B48">
            <v>2457</v>
          </cell>
          <cell r="C48" t="str">
            <v>Trịnh Thế Hùng</v>
          </cell>
          <cell r="D48" t="str">
            <v>M/M</v>
          </cell>
          <cell r="E48">
            <v>6000000</v>
          </cell>
          <cell r="F48">
            <v>540000</v>
          </cell>
        </row>
        <row r="49">
          <cell r="B49"/>
          <cell r="C49" t="str">
            <v>Tổng cộng</v>
          </cell>
          <cell r="D49"/>
          <cell r="E49">
            <v>140000000</v>
          </cell>
          <cell r="F49">
            <v>12600000</v>
          </cell>
        </row>
        <row r="50">
          <cell r="B50" t="str">
            <v>Tàu Inlaco Express</v>
          </cell>
          <cell r="C50"/>
          <cell r="D50"/>
          <cell r="E50"/>
          <cell r="F50"/>
        </row>
        <row r="51">
          <cell r="B51">
            <v>748</v>
          </cell>
          <cell r="C51" t="str">
            <v>Thành Anh Duy</v>
          </cell>
          <cell r="D51" t="str">
            <v>Capt.</v>
          </cell>
          <cell r="E51">
            <v>12000000</v>
          </cell>
          <cell r="F51">
            <v>1080000</v>
          </cell>
        </row>
        <row r="52">
          <cell r="B52">
            <v>2135</v>
          </cell>
          <cell r="C52" t="str">
            <v>Vũ Tuấn Anh</v>
          </cell>
          <cell r="D52" t="str">
            <v>C/O</v>
          </cell>
          <cell r="E52">
            <v>9000000</v>
          </cell>
          <cell r="F52">
            <v>810000</v>
          </cell>
        </row>
        <row r="53">
          <cell r="B53">
            <v>1471</v>
          </cell>
          <cell r="C53" t="str">
            <v>Nguyễn Đình Hương</v>
          </cell>
          <cell r="D53" t="str">
            <v>2/O</v>
          </cell>
          <cell r="E53">
            <v>8000000</v>
          </cell>
          <cell r="F53">
            <v>720000</v>
          </cell>
        </row>
        <row r="54">
          <cell r="B54">
            <v>2918</v>
          </cell>
          <cell r="C54" t="str">
            <v xml:space="preserve"> Dương Công Song</v>
          </cell>
          <cell r="D54" t="str">
            <v>3/O</v>
          </cell>
          <cell r="E54">
            <v>7500000</v>
          </cell>
          <cell r="F54">
            <v>675000</v>
          </cell>
        </row>
        <row r="55">
          <cell r="B55">
            <v>1563</v>
          </cell>
          <cell r="C55" t="str">
            <v>Nguyễn Phùng Linh</v>
          </cell>
          <cell r="D55" t="str">
            <v>C/E</v>
          </cell>
          <cell r="E55">
            <v>11500000</v>
          </cell>
          <cell r="F55">
            <v>1035000</v>
          </cell>
        </row>
        <row r="56">
          <cell r="B56">
            <v>2285</v>
          </cell>
          <cell r="C56" t="str">
            <v>Đỗ Xuân Khang</v>
          </cell>
          <cell r="D56" t="str">
            <v>1/E</v>
          </cell>
          <cell r="E56">
            <v>9000000</v>
          </cell>
          <cell r="F56">
            <v>810000</v>
          </cell>
        </row>
        <row r="57">
          <cell r="B57">
            <v>2249</v>
          </cell>
          <cell r="C57" t="str">
            <v>Ngô Văn Quyền</v>
          </cell>
          <cell r="D57" t="str">
            <v>2/E</v>
          </cell>
          <cell r="E57">
            <v>8000000</v>
          </cell>
          <cell r="F57">
            <v>720000</v>
          </cell>
        </row>
        <row r="58">
          <cell r="B58">
            <v>2701</v>
          </cell>
          <cell r="C58" t="str">
            <v>Trần Văn Kiên</v>
          </cell>
          <cell r="D58" t="str">
            <v>3/E</v>
          </cell>
          <cell r="E58">
            <v>7500000</v>
          </cell>
          <cell r="F58">
            <v>675000</v>
          </cell>
        </row>
        <row r="59">
          <cell r="B59">
            <v>2817</v>
          </cell>
          <cell r="C59" t="str">
            <v>Mai Huy Du</v>
          </cell>
          <cell r="D59" t="str">
            <v>BSN</v>
          </cell>
          <cell r="E59">
            <v>6500000</v>
          </cell>
          <cell r="F59">
            <v>585000</v>
          </cell>
        </row>
        <row r="60">
          <cell r="B60">
            <v>2985</v>
          </cell>
          <cell r="C60" t="str">
            <v>Mai Thanh Hiếu</v>
          </cell>
          <cell r="D60" t="str">
            <v>AB</v>
          </cell>
          <cell r="E60">
            <v>6000000</v>
          </cell>
          <cell r="F60">
            <v>540000</v>
          </cell>
        </row>
        <row r="61">
          <cell r="B61">
            <v>2602</v>
          </cell>
          <cell r="C61" t="str">
            <v>Nguyễn Viết Quang</v>
          </cell>
          <cell r="D61" t="str">
            <v>AB</v>
          </cell>
          <cell r="E61">
            <v>6000000</v>
          </cell>
          <cell r="F61">
            <v>540000</v>
          </cell>
        </row>
        <row r="62">
          <cell r="B62">
            <v>2843</v>
          </cell>
          <cell r="C62" t="str">
            <v>Nguyễn Văn Cường</v>
          </cell>
          <cell r="D62" t="str">
            <v>AB</v>
          </cell>
          <cell r="E62">
            <v>6000000</v>
          </cell>
          <cell r="F62">
            <v>540000</v>
          </cell>
        </row>
        <row r="63">
          <cell r="B63">
            <v>2834</v>
          </cell>
          <cell r="C63" t="str">
            <v>Hồ Thân Minh</v>
          </cell>
          <cell r="D63" t="str">
            <v>OS</v>
          </cell>
          <cell r="E63">
            <v>6000000</v>
          </cell>
          <cell r="F63">
            <v>540000</v>
          </cell>
        </row>
        <row r="64">
          <cell r="B64">
            <v>3003</v>
          </cell>
          <cell r="C64" t="str">
            <v>Kiều Quốc Huy</v>
          </cell>
          <cell r="D64" t="str">
            <v>OS</v>
          </cell>
          <cell r="E64">
            <v>6000000</v>
          </cell>
          <cell r="F64">
            <v>540000</v>
          </cell>
        </row>
        <row r="65">
          <cell r="B65">
            <v>2789</v>
          </cell>
          <cell r="C65" t="str">
            <v>Nguyễn Văn Diễn</v>
          </cell>
          <cell r="D65" t="str">
            <v>No.1</v>
          </cell>
          <cell r="E65">
            <v>6500000</v>
          </cell>
          <cell r="F65">
            <v>585000</v>
          </cell>
        </row>
        <row r="66">
          <cell r="B66">
            <v>2827</v>
          </cell>
          <cell r="C66" t="str">
            <v>Lê Văn Trọng</v>
          </cell>
          <cell r="D66" t="str">
            <v>OLR</v>
          </cell>
          <cell r="E66">
            <v>6000000</v>
          </cell>
          <cell r="F66">
            <v>540000</v>
          </cell>
        </row>
        <row r="67">
          <cell r="B67">
            <v>2886</v>
          </cell>
          <cell r="C67" t="str">
            <v xml:space="preserve"> Dương Đình Trường</v>
          </cell>
          <cell r="D67" t="str">
            <v>OLR</v>
          </cell>
          <cell r="E67">
            <v>6000000</v>
          </cell>
          <cell r="F67">
            <v>540000</v>
          </cell>
        </row>
        <row r="68">
          <cell r="B68">
            <v>2912</v>
          </cell>
          <cell r="C68" t="str">
            <v>Lê Văn Giác</v>
          </cell>
          <cell r="D68" t="str">
            <v>OLR</v>
          </cell>
          <cell r="E68">
            <v>6000000</v>
          </cell>
          <cell r="F68">
            <v>540000</v>
          </cell>
        </row>
        <row r="69">
          <cell r="B69">
            <v>2929</v>
          </cell>
          <cell r="C69" t="str">
            <v>Nguyễn Văn Luật</v>
          </cell>
          <cell r="D69" t="str">
            <v>C/C</v>
          </cell>
          <cell r="E69">
            <v>6500000</v>
          </cell>
          <cell r="F69">
            <v>585000</v>
          </cell>
        </row>
        <row r="70">
          <cell r="B70">
            <v>3035</v>
          </cell>
          <cell r="C70" t="str">
            <v>Bùi Trung Hiếu</v>
          </cell>
          <cell r="D70" t="str">
            <v>M/M</v>
          </cell>
          <cell r="E70">
            <v>6000000</v>
          </cell>
          <cell r="F70">
            <v>540000</v>
          </cell>
        </row>
        <row r="71">
          <cell r="B71">
            <v>3029</v>
          </cell>
          <cell r="C71" t="str">
            <v>Lê Quốc Thảo</v>
          </cell>
          <cell r="D71" t="str">
            <v>Elect.</v>
          </cell>
          <cell r="E71">
            <v>6000000</v>
          </cell>
          <cell r="F71">
            <v>540000</v>
          </cell>
        </row>
        <row r="72">
          <cell r="B72"/>
          <cell r="C72" t="str">
            <v>Tổng cộng</v>
          </cell>
          <cell r="D72"/>
          <cell r="E72">
            <v>152000000</v>
          </cell>
          <cell r="F72">
            <v>13680000</v>
          </cell>
        </row>
        <row r="73">
          <cell r="B73" t="str">
            <v>Tàu Thanh Thủy</v>
          </cell>
          <cell r="C73"/>
          <cell r="D73"/>
          <cell r="E73"/>
          <cell r="F73"/>
        </row>
        <row r="74">
          <cell r="B74">
            <v>1300</v>
          </cell>
          <cell r="C74" t="str">
            <v>Lê Ngọc Lương</v>
          </cell>
          <cell r="D74" t="str">
            <v>Capt.</v>
          </cell>
          <cell r="E74">
            <v>9500000</v>
          </cell>
          <cell r="F74">
            <v>855000</v>
          </cell>
        </row>
        <row r="75">
          <cell r="B75">
            <v>1961</v>
          </cell>
          <cell r="C75" t="str">
            <v xml:space="preserve"> Dư Thành Giảo</v>
          </cell>
          <cell r="D75" t="str">
            <v>C/O</v>
          </cell>
          <cell r="E75">
            <v>8000000</v>
          </cell>
          <cell r="F75">
            <v>720000</v>
          </cell>
        </row>
        <row r="76">
          <cell r="B76">
            <v>1811</v>
          </cell>
          <cell r="C76" t="str">
            <v>Trần Nam Dân</v>
          </cell>
          <cell r="D76" t="str">
            <v>2/O</v>
          </cell>
          <cell r="E76">
            <v>7500000</v>
          </cell>
          <cell r="F76">
            <v>675000</v>
          </cell>
        </row>
        <row r="77">
          <cell r="B77">
            <v>2425</v>
          </cell>
          <cell r="C77" t="str">
            <v xml:space="preserve"> Dương Ngọc Khuê</v>
          </cell>
          <cell r="D77" t="str">
            <v>3/O</v>
          </cell>
          <cell r="E77">
            <v>7000000</v>
          </cell>
          <cell r="F77">
            <v>630000</v>
          </cell>
        </row>
        <row r="78">
          <cell r="B78">
            <v>1463</v>
          </cell>
          <cell r="C78" t="str">
            <v>Vũ Khắc Ấn</v>
          </cell>
          <cell r="D78" t="str">
            <v>C/E</v>
          </cell>
          <cell r="E78">
            <v>9000000</v>
          </cell>
          <cell r="F78">
            <v>810000</v>
          </cell>
        </row>
        <row r="79">
          <cell r="B79">
            <v>1889</v>
          </cell>
          <cell r="C79" t="str">
            <v>Trần Minh Phong</v>
          </cell>
          <cell r="D79" t="str">
            <v>1/E</v>
          </cell>
          <cell r="E79">
            <v>8000000</v>
          </cell>
          <cell r="F79">
            <v>720000</v>
          </cell>
        </row>
        <row r="80">
          <cell r="B80">
            <v>2408</v>
          </cell>
          <cell r="C80" t="str">
            <v>Trương Quốc Cường</v>
          </cell>
          <cell r="D80" t="str">
            <v>2/E</v>
          </cell>
          <cell r="E80">
            <v>7500000</v>
          </cell>
          <cell r="F80">
            <v>675000</v>
          </cell>
        </row>
        <row r="81">
          <cell r="B81">
            <v>2431</v>
          </cell>
          <cell r="C81" t="str">
            <v>Đào Văn Nam</v>
          </cell>
          <cell r="D81" t="str">
            <v>3/E</v>
          </cell>
          <cell r="E81">
            <v>7000000</v>
          </cell>
          <cell r="F81">
            <v>630000</v>
          </cell>
        </row>
        <row r="82">
          <cell r="B82" t="str">
            <v>T406</v>
          </cell>
          <cell r="C82" t="str">
            <v>Phạm Phú Khánh</v>
          </cell>
          <cell r="D82" t="str">
            <v>BSN</v>
          </cell>
          <cell r="E82">
            <v>6500000</v>
          </cell>
          <cell r="F82">
            <v>585000</v>
          </cell>
        </row>
        <row r="83">
          <cell r="B83">
            <v>2575</v>
          </cell>
          <cell r="C83" t="str">
            <v>Lê Ngọc Hồng Sơn</v>
          </cell>
          <cell r="D83" t="str">
            <v>AB</v>
          </cell>
          <cell r="E83">
            <v>6000000</v>
          </cell>
          <cell r="F83">
            <v>540000</v>
          </cell>
        </row>
        <row r="84">
          <cell r="B84">
            <v>2889</v>
          </cell>
          <cell r="C84" t="str">
            <v xml:space="preserve"> Dương Đình Huấn</v>
          </cell>
          <cell r="D84" t="str">
            <v>AB</v>
          </cell>
          <cell r="E84">
            <v>6000000</v>
          </cell>
          <cell r="F84">
            <v>540000</v>
          </cell>
        </row>
        <row r="85">
          <cell r="B85">
            <v>2755</v>
          </cell>
          <cell r="C85" t="str">
            <v>Nguyễn Tiến Thuật</v>
          </cell>
          <cell r="D85" t="str">
            <v>AB</v>
          </cell>
          <cell r="E85">
            <v>6000000</v>
          </cell>
          <cell r="F85">
            <v>540000</v>
          </cell>
        </row>
        <row r="86">
          <cell r="B86">
            <v>2896</v>
          </cell>
          <cell r="C86" t="str">
            <v>Nguyễn Đức Trà</v>
          </cell>
          <cell r="D86" t="str">
            <v>AB</v>
          </cell>
          <cell r="E86">
            <v>6000000</v>
          </cell>
          <cell r="F86">
            <v>540000</v>
          </cell>
        </row>
        <row r="87">
          <cell r="B87">
            <v>2868</v>
          </cell>
          <cell r="C87" t="str">
            <v>Vũ Văn Tiến</v>
          </cell>
          <cell r="D87" t="str">
            <v>OS</v>
          </cell>
          <cell r="E87">
            <v>6000000</v>
          </cell>
          <cell r="F87">
            <v>540000</v>
          </cell>
        </row>
        <row r="88">
          <cell r="B88">
            <v>2744</v>
          </cell>
          <cell r="C88" t="str">
            <v>Nguyễn Văn Mạnh</v>
          </cell>
          <cell r="D88" t="str">
            <v>No.1</v>
          </cell>
          <cell r="E88">
            <v>6500000</v>
          </cell>
          <cell r="F88">
            <v>585000</v>
          </cell>
        </row>
        <row r="89">
          <cell r="B89">
            <v>2881</v>
          </cell>
          <cell r="C89" t="str">
            <v>Vũ Quốc Việt</v>
          </cell>
          <cell r="D89" t="str">
            <v>OLR</v>
          </cell>
          <cell r="E89">
            <v>6000000</v>
          </cell>
          <cell r="F89">
            <v>540000</v>
          </cell>
        </row>
        <row r="90">
          <cell r="B90">
            <v>2864</v>
          </cell>
          <cell r="C90" t="str">
            <v>Phạm Việt Hùng</v>
          </cell>
          <cell r="D90" t="str">
            <v>OLR</v>
          </cell>
          <cell r="E90">
            <v>6000000</v>
          </cell>
          <cell r="F90">
            <v>540000</v>
          </cell>
        </row>
        <row r="91">
          <cell r="B91">
            <v>2882</v>
          </cell>
          <cell r="C91" t="str">
            <v>Nguyễn Hữu Sơn</v>
          </cell>
          <cell r="D91" t="str">
            <v>OLR</v>
          </cell>
          <cell r="E91">
            <v>6000000</v>
          </cell>
          <cell r="F91">
            <v>540000</v>
          </cell>
        </row>
        <row r="92">
          <cell r="B92">
            <v>2914</v>
          </cell>
          <cell r="C92" t="str">
            <v>Vi Văn Nhất</v>
          </cell>
          <cell r="D92" t="str">
            <v>WPR</v>
          </cell>
          <cell r="E92">
            <v>6000000</v>
          </cell>
          <cell r="F92">
            <v>540000</v>
          </cell>
        </row>
        <row r="93">
          <cell r="B93">
            <v>1407</v>
          </cell>
          <cell r="C93" t="str">
            <v>Trương Quang Vân</v>
          </cell>
          <cell r="D93" t="str">
            <v>C/C</v>
          </cell>
          <cell r="E93">
            <v>6500000</v>
          </cell>
          <cell r="F93">
            <v>585000</v>
          </cell>
        </row>
        <row r="94">
          <cell r="B94">
            <v>2880</v>
          </cell>
          <cell r="C94" t="str">
            <v>Phạm Văn Thắng</v>
          </cell>
          <cell r="D94" t="str">
            <v>M/M</v>
          </cell>
          <cell r="E94">
            <v>6000000</v>
          </cell>
          <cell r="F94">
            <v>540000</v>
          </cell>
        </row>
        <row r="95">
          <cell r="B95">
            <v>2158</v>
          </cell>
          <cell r="C95" t="str">
            <v>Bùi Anh Phúc</v>
          </cell>
          <cell r="D95" t="str">
            <v>OLR&amp;A.3/E</v>
          </cell>
          <cell r="E95">
            <v>7000000</v>
          </cell>
          <cell r="F95">
            <v>630000</v>
          </cell>
        </row>
        <row r="96">
          <cell r="B96" t="str">
            <v>TV343</v>
          </cell>
          <cell r="C96" t="str">
            <v>Ngô Tuấn Kiệt</v>
          </cell>
          <cell r="D96" t="str">
            <v>OS</v>
          </cell>
          <cell r="E96">
            <v>6000000</v>
          </cell>
          <cell r="F96">
            <v>1650000</v>
          </cell>
        </row>
        <row r="97">
          <cell r="B97"/>
          <cell r="C97" t="str">
            <v>Tổng cộng</v>
          </cell>
          <cell r="D97"/>
          <cell r="E97">
            <v>156000000</v>
          </cell>
          <cell r="F97">
            <v>15150000</v>
          </cell>
        </row>
        <row r="98">
          <cell r="B98" t="str">
            <v>Tàu Aquamarine</v>
          </cell>
          <cell r="C98"/>
          <cell r="D98"/>
          <cell r="E98"/>
          <cell r="F98"/>
        </row>
        <row r="99">
          <cell r="B99">
            <v>2412</v>
          </cell>
          <cell r="C99" t="str">
            <v>Võ Xuân Vinh</v>
          </cell>
          <cell r="D99" t="str">
            <v>Capt.</v>
          </cell>
          <cell r="E99">
            <v>9500000</v>
          </cell>
          <cell r="F99">
            <v>855000</v>
          </cell>
        </row>
        <row r="100">
          <cell r="B100">
            <v>1913</v>
          </cell>
          <cell r="C100" t="str">
            <v>Nguyễn Quang Huy</v>
          </cell>
          <cell r="D100" t="str">
            <v>C/O</v>
          </cell>
          <cell r="E100">
            <v>8000000</v>
          </cell>
          <cell r="F100">
            <v>720000</v>
          </cell>
        </row>
        <row r="101">
          <cell r="B101">
            <v>2156</v>
          </cell>
          <cell r="C101" t="str">
            <v>Trần Văn Long</v>
          </cell>
          <cell r="D101" t="str">
            <v>2/O</v>
          </cell>
          <cell r="E101">
            <v>7500000</v>
          </cell>
          <cell r="F101">
            <v>675000</v>
          </cell>
        </row>
        <row r="102">
          <cell r="B102">
            <v>2766</v>
          </cell>
          <cell r="C102" t="str">
            <v>Nguyễn Văn Quý</v>
          </cell>
          <cell r="D102" t="str">
            <v>3/O</v>
          </cell>
          <cell r="E102">
            <v>7000000</v>
          </cell>
          <cell r="F102">
            <v>630000</v>
          </cell>
        </row>
        <row r="103">
          <cell r="B103">
            <v>1331</v>
          </cell>
          <cell r="C103" t="str">
            <v>Lê Văn Thục</v>
          </cell>
          <cell r="D103" t="str">
            <v>C/E</v>
          </cell>
          <cell r="E103">
            <v>9000000</v>
          </cell>
          <cell r="F103">
            <v>810000</v>
          </cell>
        </row>
        <row r="104">
          <cell r="B104" t="str">
            <v>T170</v>
          </cell>
          <cell r="C104" t="str">
            <v>Đoàn Hữu Tuyên</v>
          </cell>
          <cell r="D104" t="str">
            <v>1/E</v>
          </cell>
          <cell r="E104">
            <v>8000000</v>
          </cell>
          <cell r="F104">
            <v>720000</v>
          </cell>
        </row>
        <row r="105">
          <cell r="B105">
            <v>2284</v>
          </cell>
          <cell r="C105" t="str">
            <v>Hoàng Văn Trường</v>
          </cell>
          <cell r="D105" t="str">
            <v>2/E</v>
          </cell>
          <cell r="E105">
            <v>7500000</v>
          </cell>
          <cell r="F105">
            <v>675000</v>
          </cell>
        </row>
        <row r="106">
          <cell r="B106">
            <v>2644</v>
          </cell>
          <cell r="C106" t="str">
            <v>Tiêu Hoàng Minh</v>
          </cell>
          <cell r="D106" t="str">
            <v>3/E</v>
          </cell>
          <cell r="E106">
            <v>7000000</v>
          </cell>
          <cell r="F106">
            <v>630000</v>
          </cell>
        </row>
        <row r="107">
          <cell r="B107">
            <v>2702</v>
          </cell>
          <cell r="C107" t="str">
            <v>Nguyễn Văn Đông</v>
          </cell>
          <cell r="D107" t="str">
            <v>BSN</v>
          </cell>
          <cell r="E107">
            <v>6500000</v>
          </cell>
          <cell r="F107">
            <v>585000</v>
          </cell>
        </row>
        <row r="108">
          <cell r="B108">
            <v>2931</v>
          </cell>
          <cell r="C108" t="str">
            <v>Phan Văn Bảo</v>
          </cell>
          <cell r="D108" t="str">
            <v>AB</v>
          </cell>
          <cell r="E108">
            <v>6000000</v>
          </cell>
          <cell r="F108">
            <v>540000</v>
          </cell>
        </row>
        <row r="109">
          <cell r="B109">
            <v>2805</v>
          </cell>
          <cell r="C109" t="str">
            <v>Trần Trung Hiến</v>
          </cell>
          <cell r="D109" t="str">
            <v>AB</v>
          </cell>
          <cell r="E109">
            <v>6000000</v>
          </cell>
          <cell r="F109">
            <v>540000</v>
          </cell>
        </row>
        <row r="110">
          <cell r="B110">
            <v>2919</v>
          </cell>
          <cell r="C110" t="str">
            <v>Đỗ Trung Kiên</v>
          </cell>
          <cell r="D110" t="str">
            <v>AB</v>
          </cell>
          <cell r="E110">
            <v>6000000</v>
          </cell>
          <cell r="F110">
            <v>540000</v>
          </cell>
        </row>
        <row r="111">
          <cell r="B111">
            <v>2899</v>
          </cell>
          <cell r="C111" t="str">
            <v>Trần Quang Anh</v>
          </cell>
          <cell r="D111" t="str">
            <v>AB</v>
          </cell>
          <cell r="E111">
            <v>6000000</v>
          </cell>
          <cell r="F111">
            <v>540000</v>
          </cell>
        </row>
        <row r="112">
          <cell r="B112">
            <v>2841</v>
          </cell>
          <cell r="C112" t="str">
            <v>Hoàng Ngọc Tú</v>
          </cell>
          <cell r="D112" t="str">
            <v>No.1</v>
          </cell>
          <cell r="E112">
            <v>6500000</v>
          </cell>
          <cell r="F112">
            <v>585000</v>
          </cell>
        </row>
        <row r="113">
          <cell r="B113">
            <v>2806</v>
          </cell>
          <cell r="C113" t="str">
            <v>Lưu Văn Quý</v>
          </cell>
          <cell r="D113" t="str">
            <v>OLR</v>
          </cell>
          <cell r="E113">
            <v>6000000</v>
          </cell>
          <cell r="F113">
            <v>540000</v>
          </cell>
        </row>
        <row r="114">
          <cell r="B114">
            <v>2465</v>
          </cell>
          <cell r="C114" t="str">
            <v>Phan Ngọc Trưởng</v>
          </cell>
          <cell r="D114" t="str">
            <v>OLR</v>
          </cell>
          <cell r="E114">
            <v>6000000</v>
          </cell>
          <cell r="F114">
            <v>540000</v>
          </cell>
        </row>
        <row r="115">
          <cell r="B115">
            <v>2836</v>
          </cell>
          <cell r="C115" t="str">
            <v>Võ Văn Mão</v>
          </cell>
          <cell r="D115" t="str">
            <v>OLR</v>
          </cell>
          <cell r="E115">
            <v>6000000</v>
          </cell>
          <cell r="F115">
            <v>540000</v>
          </cell>
        </row>
        <row r="116">
          <cell r="B116">
            <v>2794</v>
          </cell>
          <cell r="C116" t="str">
            <v>Nguyễn Duy Khánh</v>
          </cell>
          <cell r="D116" t="str">
            <v>C/C</v>
          </cell>
          <cell r="E116">
            <v>6500000</v>
          </cell>
          <cell r="F116">
            <v>585000</v>
          </cell>
        </row>
        <row r="117">
          <cell r="B117">
            <v>2648</v>
          </cell>
          <cell r="C117" t="str">
            <v>Phạm Ngọc Tuyền</v>
          </cell>
          <cell r="D117" t="str">
            <v>M/M</v>
          </cell>
          <cell r="E117">
            <v>6000000</v>
          </cell>
          <cell r="F117">
            <v>540000</v>
          </cell>
        </row>
        <row r="118">
          <cell r="B118">
            <v>3053</v>
          </cell>
          <cell r="C118" t="str">
            <v>Trần Tuấn Kiệt</v>
          </cell>
          <cell r="D118" t="str">
            <v>A.OS</v>
          </cell>
          <cell r="E118">
            <v>6000000</v>
          </cell>
          <cell r="F118">
            <v>540000</v>
          </cell>
        </row>
        <row r="119">
          <cell r="B119"/>
          <cell r="C119" t="str">
            <v>Tổng cộng</v>
          </cell>
          <cell r="D119"/>
          <cell r="E119">
            <v>137000000</v>
          </cell>
          <cell r="F119">
            <v>12330000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UH"/>
    </sheetNames>
    <sheetDataSet>
      <sheetData sheetId="0">
        <row r="7">
          <cell r="B7">
            <v>2114</v>
          </cell>
        </row>
      </sheetData>
      <sheetData sheetId="1" refreshError="1"/>
      <sheetData sheetId="2" refreshError="1">
        <row r="7">
          <cell r="B7">
            <v>2114</v>
          </cell>
          <cell r="C7" t="str">
            <v>Vũ Hồng Quyết</v>
          </cell>
          <cell r="D7" t="str">
            <v>Capt.</v>
          </cell>
          <cell r="E7">
            <v>12000000</v>
          </cell>
          <cell r="F7">
            <v>60000</v>
          </cell>
        </row>
        <row r="8">
          <cell r="B8">
            <v>1613</v>
          </cell>
          <cell r="C8" t="str">
            <v>Đào Ngọc Dưỡng</v>
          </cell>
          <cell r="D8" t="str">
            <v>C/O</v>
          </cell>
          <cell r="E8">
            <v>9000000</v>
          </cell>
          <cell r="F8">
            <v>45000</v>
          </cell>
        </row>
        <row r="9">
          <cell r="B9">
            <v>1449</v>
          </cell>
          <cell r="C9" t="str">
            <v>Lê Văn Cường</v>
          </cell>
          <cell r="D9" t="str">
            <v>2/O</v>
          </cell>
          <cell r="E9">
            <v>8000000</v>
          </cell>
          <cell r="F9">
            <v>40000</v>
          </cell>
        </row>
        <row r="10">
          <cell r="B10">
            <v>3050</v>
          </cell>
          <cell r="C10" t="str">
            <v>Phạm Đại Dương</v>
          </cell>
          <cell r="D10" t="str">
            <v>3/O</v>
          </cell>
          <cell r="E10">
            <v>7500000</v>
          </cell>
          <cell r="F10">
            <v>37500</v>
          </cell>
        </row>
        <row r="11">
          <cell r="B11">
            <v>1572</v>
          </cell>
          <cell r="C11" t="str">
            <v>Nguyễn Văn Trung</v>
          </cell>
          <cell r="D11" t="str">
            <v>C/E</v>
          </cell>
          <cell r="E11">
            <v>11500000</v>
          </cell>
          <cell r="F11">
            <v>57500</v>
          </cell>
        </row>
        <row r="12">
          <cell r="B12">
            <v>1699</v>
          </cell>
          <cell r="C12" t="str">
            <v>Nguyễn Văn Tuấn</v>
          </cell>
          <cell r="D12" t="str">
            <v>1/E</v>
          </cell>
          <cell r="E12">
            <v>9000000</v>
          </cell>
          <cell r="F12">
            <v>45000</v>
          </cell>
        </row>
        <row r="13">
          <cell r="B13">
            <v>1137</v>
          </cell>
          <cell r="C13" t="str">
            <v>Nguyễn Thành Trung</v>
          </cell>
          <cell r="D13" t="str">
            <v>2/E</v>
          </cell>
          <cell r="E13">
            <v>8000000</v>
          </cell>
          <cell r="F13">
            <v>40000</v>
          </cell>
        </row>
        <row r="14">
          <cell r="B14">
            <v>1512</v>
          </cell>
          <cell r="C14" t="str">
            <v>Đặng Đức Nhuận</v>
          </cell>
          <cell r="D14" t="str">
            <v>BSN</v>
          </cell>
          <cell r="E14">
            <v>6500000</v>
          </cell>
          <cell r="F14">
            <v>32500</v>
          </cell>
        </row>
        <row r="15">
          <cell r="B15">
            <v>2757</v>
          </cell>
          <cell r="C15" t="str">
            <v>Nguyễn Đức Toàn</v>
          </cell>
          <cell r="D15" t="str">
            <v>AB</v>
          </cell>
          <cell r="E15">
            <v>6000000</v>
          </cell>
          <cell r="F15">
            <v>30000</v>
          </cell>
        </row>
        <row r="16">
          <cell r="B16">
            <v>2963</v>
          </cell>
          <cell r="C16" t="str">
            <v>Nguyễn Văn Sỹ</v>
          </cell>
          <cell r="D16" t="str">
            <v>AB</v>
          </cell>
          <cell r="E16">
            <v>6000000</v>
          </cell>
          <cell r="F16">
            <v>30000</v>
          </cell>
        </row>
        <row r="17">
          <cell r="B17">
            <v>2904</v>
          </cell>
          <cell r="C17" t="str">
            <v>Hoàng Văn Hiệp</v>
          </cell>
          <cell r="D17" t="str">
            <v>AB</v>
          </cell>
          <cell r="E17">
            <v>6000000</v>
          </cell>
          <cell r="F17">
            <v>30000</v>
          </cell>
        </row>
        <row r="18">
          <cell r="B18">
            <v>3032</v>
          </cell>
          <cell r="C18" t="str">
            <v>Trần Văn Đạt</v>
          </cell>
          <cell r="D18" t="str">
            <v>OS</v>
          </cell>
          <cell r="E18">
            <v>6000000</v>
          </cell>
          <cell r="F18">
            <v>30000</v>
          </cell>
        </row>
        <row r="19">
          <cell r="B19">
            <v>2987</v>
          </cell>
          <cell r="C19" t="str">
            <v>Nguyễn Trường Thắng</v>
          </cell>
          <cell r="D19" t="str">
            <v>OS</v>
          </cell>
          <cell r="E19">
            <v>6000000</v>
          </cell>
          <cell r="F19">
            <v>30000</v>
          </cell>
        </row>
        <row r="20">
          <cell r="B20">
            <v>2826</v>
          </cell>
          <cell r="C20" t="str">
            <v>Bùi Hữu Thức</v>
          </cell>
          <cell r="D20" t="str">
            <v>No.1</v>
          </cell>
          <cell r="E20">
            <v>6500000</v>
          </cell>
          <cell r="F20">
            <v>32500</v>
          </cell>
        </row>
        <row r="21">
          <cell r="B21">
            <v>2877</v>
          </cell>
          <cell r="C21" t="str">
            <v>Trương Văn Điệp</v>
          </cell>
          <cell r="D21" t="str">
            <v>OLR</v>
          </cell>
          <cell r="E21">
            <v>6000000</v>
          </cell>
          <cell r="F21">
            <v>30000</v>
          </cell>
        </row>
        <row r="22">
          <cell r="B22">
            <v>2796</v>
          </cell>
          <cell r="C22" t="str">
            <v>Cao Xuân Ánh</v>
          </cell>
          <cell r="D22" t="str">
            <v>OLR</v>
          </cell>
          <cell r="E22">
            <v>6000000</v>
          </cell>
          <cell r="F22">
            <v>30000</v>
          </cell>
        </row>
        <row r="23">
          <cell r="B23">
            <v>2813</v>
          </cell>
          <cell r="C23" t="str">
            <v>Hoàng Mạnh Cường</v>
          </cell>
          <cell r="D23" t="str">
            <v>OLR</v>
          </cell>
          <cell r="E23">
            <v>6000000</v>
          </cell>
          <cell r="F23">
            <v>30000</v>
          </cell>
        </row>
        <row r="24">
          <cell r="B24">
            <v>1756</v>
          </cell>
          <cell r="C24" t="str">
            <v>Võ Hoàng Khanh</v>
          </cell>
          <cell r="D24" t="str">
            <v>C/C</v>
          </cell>
          <cell r="E24">
            <v>6500000</v>
          </cell>
          <cell r="F24">
            <v>32500</v>
          </cell>
        </row>
        <row r="25">
          <cell r="B25">
            <v>3047</v>
          </cell>
          <cell r="C25" t="str">
            <v>Vũ Văn Tuyền</v>
          </cell>
          <cell r="D25" t="str">
            <v>M/M</v>
          </cell>
          <cell r="E25">
            <v>6000000</v>
          </cell>
          <cell r="F25">
            <v>30000</v>
          </cell>
        </row>
        <row r="26">
          <cell r="B26">
            <v>3036</v>
          </cell>
          <cell r="C26" t="str">
            <v>Trần Quốc Anh</v>
          </cell>
          <cell r="D26" t="str">
            <v>A.OS</v>
          </cell>
          <cell r="E26">
            <v>6000000</v>
          </cell>
          <cell r="F26">
            <v>30000</v>
          </cell>
        </row>
        <row r="27">
          <cell r="B27"/>
          <cell r="C27" t="str">
            <v>Cộng</v>
          </cell>
          <cell r="D27"/>
          <cell r="E27">
            <v>144500000</v>
          </cell>
          <cell r="F27">
            <v>722500</v>
          </cell>
        </row>
        <row r="28">
          <cell r="B28" t="str">
            <v>Tàu Inlaco Harmony</v>
          </cell>
          <cell r="C28"/>
          <cell r="D28"/>
          <cell r="E28"/>
          <cell r="F28"/>
        </row>
        <row r="29">
          <cell r="B29">
            <v>1003</v>
          </cell>
          <cell r="C29" t="str">
            <v>Đặng Văn Thiệp</v>
          </cell>
          <cell r="D29" t="str">
            <v>Capt.</v>
          </cell>
          <cell r="E29">
            <v>12000000</v>
          </cell>
          <cell r="F29">
            <v>60000</v>
          </cell>
        </row>
        <row r="30">
          <cell r="B30">
            <v>1857</v>
          </cell>
          <cell r="C30" t="str">
            <v>Lê Công Sơn</v>
          </cell>
          <cell r="D30" t="str">
            <v>C/O</v>
          </cell>
          <cell r="E30">
            <v>9000000</v>
          </cell>
          <cell r="F30">
            <v>45000</v>
          </cell>
        </row>
        <row r="31">
          <cell r="B31">
            <v>3006</v>
          </cell>
          <cell r="C31" t="str">
            <v>Thái Văn Dương</v>
          </cell>
          <cell r="D31" t="str">
            <v>2/O</v>
          </cell>
          <cell r="E31">
            <v>8000000</v>
          </cell>
          <cell r="F31">
            <v>40000</v>
          </cell>
        </row>
        <row r="32">
          <cell r="B32">
            <v>1853</v>
          </cell>
          <cell r="C32" t="str">
            <v>Nguyễn Hồng Sơn</v>
          </cell>
          <cell r="D32" t="str">
            <v>3/O</v>
          </cell>
          <cell r="E32">
            <v>7500000</v>
          </cell>
          <cell r="F32">
            <v>37500</v>
          </cell>
        </row>
        <row r="33">
          <cell r="B33">
            <v>744</v>
          </cell>
          <cell r="C33" t="str">
            <v>Phạm Phương Nam</v>
          </cell>
          <cell r="D33" t="str">
            <v>C/E</v>
          </cell>
          <cell r="E33">
            <v>11500000</v>
          </cell>
          <cell r="F33">
            <v>57500</v>
          </cell>
        </row>
        <row r="34">
          <cell r="B34">
            <v>1565</v>
          </cell>
          <cell r="C34" t="str">
            <v>Trần Hồng Tự</v>
          </cell>
          <cell r="D34" t="str">
            <v>1/E</v>
          </cell>
          <cell r="E34">
            <v>9000000</v>
          </cell>
          <cell r="F34">
            <v>45000</v>
          </cell>
        </row>
        <row r="35">
          <cell r="B35">
            <v>2920</v>
          </cell>
          <cell r="C35" t="str">
            <v>Châu anh Tú</v>
          </cell>
          <cell r="D35" t="str">
            <v>2/E</v>
          </cell>
          <cell r="E35">
            <v>8000000</v>
          </cell>
          <cell r="F35">
            <v>40000</v>
          </cell>
        </row>
        <row r="36">
          <cell r="B36">
            <v>2690</v>
          </cell>
          <cell r="C36" t="str">
            <v>Bùi Hoàng Phú</v>
          </cell>
          <cell r="D36" t="str">
            <v>3/E</v>
          </cell>
          <cell r="E36">
            <v>7500000</v>
          </cell>
          <cell r="F36">
            <v>37500</v>
          </cell>
        </row>
        <row r="37">
          <cell r="B37">
            <v>1440</v>
          </cell>
          <cell r="C37" t="str">
            <v>Vũ Văn Bắc</v>
          </cell>
          <cell r="D37" t="str">
            <v>BSN</v>
          </cell>
          <cell r="E37">
            <v>6500000</v>
          </cell>
          <cell r="F37">
            <v>32500</v>
          </cell>
        </row>
        <row r="38">
          <cell r="B38">
            <v>2782</v>
          </cell>
          <cell r="C38" t="str">
            <v>Phạm Xuân Trường</v>
          </cell>
          <cell r="D38" t="str">
            <v>AB</v>
          </cell>
          <cell r="E38">
            <v>6000000</v>
          </cell>
          <cell r="F38">
            <v>30000</v>
          </cell>
        </row>
        <row r="39">
          <cell r="B39">
            <v>2872</v>
          </cell>
          <cell r="C39" t="str">
            <v>Lê Văn Nghĩa</v>
          </cell>
          <cell r="D39" t="str">
            <v>AB</v>
          </cell>
          <cell r="E39">
            <v>6000000</v>
          </cell>
          <cell r="F39">
            <v>30000</v>
          </cell>
        </row>
        <row r="40">
          <cell r="B40">
            <v>2538</v>
          </cell>
          <cell r="C40" t="str">
            <v>Lê Hồng Sơn</v>
          </cell>
          <cell r="D40" t="str">
            <v>AB</v>
          </cell>
          <cell r="E40">
            <v>6000000</v>
          </cell>
          <cell r="F40">
            <v>30000</v>
          </cell>
        </row>
        <row r="41">
          <cell r="B41">
            <v>3041</v>
          </cell>
          <cell r="C41" t="str">
            <v>Nguyễn Quang Dũng</v>
          </cell>
          <cell r="D41" t="str">
            <v>OS</v>
          </cell>
          <cell r="E41">
            <v>6000000</v>
          </cell>
          <cell r="F41">
            <v>30000</v>
          </cell>
        </row>
        <row r="42">
          <cell r="B42">
            <v>1375</v>
          </cell>
          <cell r="C42" t="str">
            <v>Nguyễn Đức Điển</v>
          </cell>
          <cell r="D42" t="str">
            <v>No.1</v>
          </cell>
          <cell r="E42">
            <v>6500000</v>
          </cell>
          <cell r="F42">
            <v>32500</v>
          </cell>
        </row>
        <row r="43">
          <cell r="B43">
            <v>2547</v>
          </cell>
          <cell r="C43" t="str">
            <v>Nguyễn Văn Khanh</v>
          </cell>
          <cell r="D43" t="str">
            <v>OLR</v>
          </cell>
          <cell r="E43">
            <v>6000000</v>
          </cell>
          <cell r="F43">
            <v>30000</v>
          </cell>
        </row>
        <row r="44">
          <cell r="B44">
            <v>2706</v>
          </cell>
          <cell r="C44" t="str">
            <v>Trần Ngọc Khải</v>
          </cell>
          <cell r="D44" t="str">
            <v>OLR</v>
          </cell>
          <cell r="E44">
            <v>6000000</v>
          </cell>
          <cell r="F44">
            <v>30000</v>
          </cell>
        </row>
        <row r="45">
          <cell r="B45">
            <v>2760</v>
          </cell>
          <cell r="C45" t="str">
            <v>Phạm Hoàng Hải</v>
          </cell>
          <cell r="D45" t="str">
            <v>OLR</v>
          </cell>
          <cell r="E45">
            <v>6000000</v>
          </cell>
          <cell r="F45">
            <v>30000</v>
          </cell>
        </row>
        <row r="46">
          <cell r="B46">
            <v>2095</v>
          </cell>
          <cell r="C46" t="str">
            <v>Trần Minh Thanh</v>
          </cell>
          <cell r="D46" t="str">
            <v>C/C</v>
          </cell>
          <cell r="E46">
            <v>6500000</v>
          </cell>
          <cell r="F46">
            <v>32500</v>
          </cell>
        </row>
        <row r="47">
          <cell r="B47">
            <v>2457</v>
          </cell>
          <cell r="C47" t="str">
            <v>Trịnh Thế hùng</v>
          </cell>
          <cell r="D47" t="str">
            <v>M/M</v>
          </cell>
          <cell r="E47">
            <v>6000000</v>
          </cell>
          <cell r="F47">
            <v>30000</v>
          </cell>
        </row>
        <row r="48">
          <cell r="B48"/>
          <cell r="C48" t="str">
            <v>Cộng</v>
          </cell>
          <cell r="D48"/>
          <cell r="E48">
            <v>140000000</v>
          </cell>
          <cell r="F48">
            <v>700000</v>
          </cell>
        </row>
        <row r="49">
          <cell r="B49" t="str">
            <v>Tàu Inlaco Express</v>
          </cell>
          <cell r="C49"/>
          <cell r="D49"/>
          <cell r="E49"/>
          <cell r="F49"/>
        </row>
        <row r="50">
          <cell r="B50">
            <v>748</v>
          </cell>
          <cell r="C50" t="str">
            <v>Thành Anh Duy</v>
          </cell>
          <cell r="D50" t="str">
            <v>Capt.</v>
          </cell>
          <cell r="E50">
            <v>12000000</v>
          </cell>
          <cell r="F50">
            <v>60000</v>
          </cell>
        </row>
        <row r="51">
          <cell r="B51">
            <v>2135</v>
          </cell>
          <cell r="C51" t="str">
            <v>Vũ Tuấn Anh</v>
          </cell>
          <cell r="D51" t="str">
            <v>C/O</v>
          </cell>
          <cell r="E51">
            <v>9000000</v>
          </cell>
          <cell r="F51">
            <v>45000</v>
          </cell>
        </row>
        <row r="52">
          <cell r="B52">
            <v>1471</v>
          </cell>
          <cell r="C52" t="str">
            <v>Nguyễn Đình Hương</v>
          </cell>
          <cell r="D52" t="str">
            <v>2/O</v>
          </cell>
          <cell r="E52">
            <v>8000000</v>
          </cell>
          <cell r="F52">
            <v>40000</v>
          </cell>
        </row>
        <row r="53">
          <cell r="B53">
            <v>2918</v>
          </cell>
          <cell r="C53" t="str">
            <v xml:space="preserve"> Dương Công Song</v>
          </cell>
          <cell r="D53" t="str">
            <v>3/O</v>
          </cell>
          <cell r="E53">
            <v>7500000</v>
          </cell>
          <cell r="F53">
            <v>37500</v>
          </cell>
        </row>
        <row r="54">
          <cell r="B54">
            <v>1563</v>
          </cell>
          <cell r="C54" t="str">
            <v>Nguyễn Phùng Linh</v>
          </cell>
          <cell r="D54" t="str">
            <v>C/E</v>
          </cell>
          <cell r="E54">
            <v>11500000</v>
          </cell>
          <cell r="F54">
            <v>57500</v>
          </cell>
        </row>
        <row r="55">
          <cell r="B55">
            <v>2285</v>
          </cell>
          <cell r="C55" t="str">
            <v>Đỗ Xuân Khang</v>
          </cell>
          <cell r="D55" t="str">
            <v>1/E</v>
          </cell>
          <cell r="E55">
            <v>9000000</v>
          </cell>
          <cell r="F55">
            <v>45000</v>
          </cell>
        </row>
        <row r="56">
          <cell r="B56">
            <v>2249</v>
          </cell>
          <cell r="C56" t="str">
            <v>Ngô Văn Quyền</v>
          </cell>
          <cell r="D56" t="str">
            <v>2/E</v>
          </cell>
          <cell r="E56">
            <v>8000000</v>
          </cell>
          <cell r="F56">
            <v>40000</v>
          </cell>
        </row>
        <row r="57">
          <cell r="B57">
            <v>2701</v>
          </cell>
          <cell r="C57" t="str">
            <v>Trần Văn Kiên</v>
          </cell>
          <cell r="D57" t="str">
            <v>3/E</v>
          </cell>
          <cell r="E57">
            <v>7500000</v>
          </cell>
          <cell r="F57">
            <v>37500</v>
          </cell>
        </row>
        <row r="58">
          <cell r="B58">
            <v>2817</v>
          </cell>
          <cell r="C58" t="str">
            <v>Mai Huy Du</v>
          </cell>
          <cell r="D58" t="str">
            <v>BSN</v>
          </cell>
          <cell r="E58">
            <v>6500000</v>
          </cell>
          <cell r="F58">
            <v>32500</v>
          </cell>
        </row>
        <row r="59">
          <cell r="B59">
            <v>2602</v>
          </cell>
          <cell r="C59" t="str">
            <v>Nguyễn Viết Quang</v>
          </cell>
          <cell r="D59" t="str">
            <v>AB</v>
          </cell>
          <cell r="E59">
            <v>6000000</v>
          </cell>
          <cell r="F59">
            <v>30000</v>
          </cell>
        </row>
        <row r="60">
          <cell r="B60">
            <v>2843</v>
          </cell>
          <cell r="C60" t="str">
            <v>Nguyễn Văn Cường</v>
          </cell>
          <cell r="D60" t="str">
            <v>AB</v>
          </cell>
          <cell r="E60">
            <v>6000000</v>
          </cell>
          <cell r="F60">
            <v>30000</v>
          </cell>
        </row>
        <row r="61">
          <cell r="B61">
            <v>2985</v>
          </cell>
          <cell r="C61" t="str">
            <v>Mai Thanh Hiếu</v>
          </cell>
          <cell r="D61" t="str">
            <v>AB</v>
          </cell>
          <cell r="E61">
            <v>6000000</v>
          </cell>
          <cell r="F61">
            <v>30000</v>
          </cell>
        </row>
        <row r="62">
          <cell r="B62">
            <v>2834</v>
          </cell>
          <cell r="C62" t="str">
            <v>Hồ Thân Minh</v>
          </cell>
          <cell r="D62" t="str">
            <v>OS</v>
          </cell>
          <cell r="E62">
            <v>6000000</v>
          </cell>
          <cell r="F62">
            <v>30000</v>
          </cell>
        </row>
        <row r="63">
          <cell r="B63">
            <v>3003</v>
          </cell>
          <cell r="C63" t="str">
            <v>Kiều Quốc Huy</v>
          </cell>
          <cell r="D63" t="str">
            <v>OS</v>
          </cell>
          <cell r="E63">
            <v>6000000</v>
          </cell>
          <cell r="F63">
            <v>30000</v>
          </cell>
        </row>
        <row r="64">
          <cell r="B64">
            <v>2789</v>
          </cell>
          <cell r="C64" t="str">
            <v>Nguyễn Văn Diễn</v>
          </cell>
          <cell r="D64" t="str">
            <v>No.1</v>
          </cell>
          <cell r="E64">
            <v>6500000</v>
          </cell>
          <cell r="F64">
            <v>32500</v>
          </cell>
        </row>
        <row r="65">
          <cell r="B65">
            <v>2827</v>
          </cell>
          <cell r="C65" t="str">
            <v>Lê Văn Trọng</v>
          </cell>
          <cell r="D65" t="str">
            <v>OLR</v>
          </cell>
          <cell r="E65">
            <v>6000000</v>
          </cell>
          <cell r="F65">
            <v>30000</v>
          </cell>
        </row>
        <row r="66">
          <cell r="B66">
            <v>2886</v>
          </cell>
          <cell r="C66" t="str">
            <v xml:space="preserve"> Dương Đình Trường</v>
          </cell>
          <cell r="D66" t="str">
            <v>OLR</v>
          </cell>
          <cell r="E66">
            <v>6000000</v>
          </cell>
          <cell r="F66">
            <v>30000</v>
          </cell>
        </row>
        <row r="67">
          <cell r="B67">
            <v>2912</v>
          </cell>
          <cell r="C67" t="str">
            <v>Lê Văn Giác</v>
          </cell>
          <cell r="D67" t="str">
            <v>OLR</v>
          </cell>
          <cell r="E67">
            <v>6000000</v>
          </cell>
          <cell r="F67">
            <v>30000</v>
          </cell>
        </row>
        <row r="68">
          <cell r="B68">
            <v>2929</v>
          </cell>
          <cell r="C68" t="str">
            <v>Nguyễn Văn Luật</v>
          </cell>
          <cell r="D68" t="str">
            <v>C/C</v>
          </cell>
          <cell r="E68">
            <v>6500000</v>
          </cell>
          <cell r="F68">
            <v>32500</v>
          </cell>
        </row>
        <row r="69">
          <cell r="B69">
            <v>3035</v>
          </cell>
          <cell r="C69" t="str">
            <v>Bùi Trung Hiếu</v>
          </cell>
          <cell r="D69" t="str">
            <v>M/M</v>
          </cell>
          <cell r="E69">
            <v>6000000</v>
          </cell>
          <cell r="F69">
            <v>30000</v>
          </cell>
        </row>
        <row r="70">
          <cell r="B70">
            <v>3029</v>
          </cell>
          <cell r="C70" t="str">
            <v>Lê Quốc Thảo</v>
          </cell>
          <cell r="D70" t="str">
            <v>Elect.</v>
          </cell>
          <cell r="E70">
            <v>6000000</v>
          </cell>
          <cell r="F70">
            <v>30000</v>
          </cell>
        </row>
        <row r="71">
          <cell r="B71"/>
          <cell r="C71" t="str">
            <v>Cộng</v>
          </cell>
          <cell r="D71"/>
          <cell r="E71">
            <v>152000000</v>
          </cell>
          <cell r="F71">
            <v>760000</v>
          </cell>
        </row>
        <row r="72">
          <cell r="B72" t="str">
            <v>Tàu Thanh Thủy</v>
          </cell>
          <cell r="C72"/>
          <cell r="D72"/>
          <cell r="E72"/>
          <cell r="F72"/>
        </row>
        <row r="73">
          <cell r="B73">
            <v>1300</v>
          </cell>
          <cell r="C73" t="str">
            <v>Lê Ngọc Lương</v>
          </cell>
          <cell r="D73" t="str">
            <v>Capt.</v>
          </cell>
          <cell r="E73">
            <v>9500000</v>
          </cell>
          <cell r="F73">
            <v>47500</v>
          </cell>
        </row>
        <row r="74">
          <cell r="B74">
            <v>1961</v>
          </cell>
          <cell r="C74" t="str">
            <v xml:space="preserve"> Dư Thành Giảo</v>
          </cell>
          <cell r="D74" t="str">
            <v>C/O</v>
          </cell>
          <cell r="E74">
            <v>8000000</v>
          </cell>
          <cell r="F74">
            <v>40000</v>
          </cell>
        </row>
        <row r="75">
          <cell r="B75">
            <v>1811</v>
          </cell>
          <cell r="C75" t="str">
            <v>Trần Nam Dân</v>
          </cell>
          <cell r="D75" t="str">
            <v>2/O</v>
          </cell>
          <cell r="E75">
            <v>7500000</v>
          </cell>
          <cell r="F75">
            <v>37500</v>
          </cell>
        </row>
        <row r="76">
          <cell r="B76">
            <v>2425</v>
          </cell>
          <cell r="C76" t="str">
            <v xml:space="preserve"> Dương Ngọc Khuê</v>
          </cell>
          <cell r="D76" t="str">
            <v>3/O</v>
          </cell>
          <cell r="E76">
            <v>7000000</v>
          </cell>
          <cell r="F76">
            <v>35000</v>
          </cell>
        </row>
        <row r="77">
          <cell r="B77">
            <v>1463</v>
          </cell>
          <cell r="C77" t="str">
            <v>Vũ Khắc Ấn</v>
          </cell>
          <cell r="D77" t="str">
            <v>C/E</v>
          </cell>
          <cell r="E77">
            <v>9000000</v>
          </cell>
          <cell r="F77">
            <v>45000</v>
          </cell>
        </row>
        <row r="78">
          <cell r="B78">
            <v>1889</v>
          </cell>
          <cell r="C78" t="str">
            <v>Trần Minh Phong</v>
          </cell>
          <cell r="D78" t="str">
            <v>1/E</v>
          </cell>
          <cell r="E78">
            <v>8000000</v>
          </cell>
          <cell r="F78">
            <v>40000</v>
          </cell>
        </row>
        <row r="79">
          <cell r="B79">
            <v>2408</v>
          </cell>
          <cell r="C79" t="str">
            <v>Trương Quốc Cường</v>
          </cell>
          <cell r="D79" t="str">
            <v>2/E</v>
          </cell>
          <cell r="E79">
            <v>7500000</v>
          </cell>
          <cell r="F79">
            <v>37500</v>
          </cell>
        </row>
        <row r="80">
          <cell r="B80">
            <v>2431</v>
          </cell>
          <cell r="C80" t="str">
            <v>Đào Văn Nam</v>
          </cell>
          <cell r="D80" t="str">
            <v>3/E</v>
          </cell>
          <cell r="E80">
            <v>7000000</v>
          </cell>
          <cell r="F80">
            <v>35000</v>
          </cell>
        </row>
        <row r="81">
          <cell r="B81" t="str">
            <v>T406</v>
          </cell>
          <cell r="C81" t="str">
            <v>Phạm Phú Khánh</v>
          </cell>
          <cell r="D81" t="str">
            <v>BSN</v>
          </cell>
          <cell r="E81">
            <v>6500000</v>
          </cell>
          <cell r="F81">
            <v>32500</v>
          </cell>
        </row>
        <row r="82">
          <cell r="B82">
            <v>2575</v>
          </cell>
          <cell r="C82" t="str">
            <v>Lê Ngọc Hồng Sơn</v>
          </cell>
          <cell r="D82" t="str">
            <v>AB</v>
          </cell>
          <cell r="E82">
            <v>6000000</v>
          </cell>
          <cell r="F82">
            <v>30000</v>
          </cell>
        </row>
        <row r="83">
          <cell r="B83">
            <v>2889</v>
          </cell>
          <cell r="C83" t="str">
            <v xml:space="preserve"> Dương Đình Huấn</v>
          </cell>
          <cell r="D83" t="str">
            <v>AB</v>
          </cell>
          <cell r="E83">
            <v>6000000</v>
          </cell>
          <cell r="F83">
            <v>30000</v>
          </cell>
        </row>
        <row r="84">
          <cell r="B84">
            <v>2755</v>
          </cell>
          <cell r="C84" t="str">
            <v>Nguyễn Tiến Thuật</v>
          </cell>
          <cell r="D84" t="str">
            <v>AB</v>
          </cell>
          <cell r="E84">
            <v>6000000</v>
          </cell>
          <cell r="F84">
            <v>30000</v>
          </cell>
        </row>
        <row r="85">
          <cell r="B85">
            <v>2896</v>
          </cell>
          <cell r="C85" t="str">
            <v>Nguyễn Đức Trà</v>
          </cell>
          <cell r="D85" t="str">
            <v>AB</v>
          </cell>
          <cell r="E85">
            <v>6000000</v>
          </cell>
          <cell r="F85">
            <v>30000</v>
          </cell>
        </row>
        <row r="86">
          <cell r="B86">
            <v>2868</v>
          </cell>
          <cell r="C86" t="str">
            <v>Vũ Văn Tiến</v>
          </cell>
          <cell r="D86" t="str">
            <v>OS</v>
          </cell>
          <cell r="E86">
            <v>6000000</v>
          </cell>
          <cell r="F86">
            <v>30000</v>
          </cell>
        </row>
        <row r="87">
          <cell r="B87">
            <v>2744</v>
          </cell>
          <cell r="C87" t="str">
            <v>Nguyễn Văn Mạnh</v>
          </cell>
          <cell r="D87" t="str">
            <v>No.1</v>
          </cell>
          <cell r="E87">
            <v>6500000</v>
          </cell>
          <cell r="F87">
            <v>32500</v>
          </cell>
        </row>
        <row r="88">
          <cell r="B88">
            <v>2881</v>
          </cell>
          <cell r="C88" t="str">
            <v>Vũ Quốc Việt</v>
          </cell>
          <cell r="D88" t="str">
            <v>OLR</v>
          </cell>
          <cell r="E88">
            <v>6000000</v>
          </cell>
          <cell r="F88">
            <v>30000</v>
          </cell>
        </row>
        <row r="89">
          <cell r="B89">
            <v>2864</v>
          </cell>
          <cell r="C89" t="str">
            <v>Phạm Việt Hùng</v>
          </cell>
          <cell r="D89" t="str">
            <v>OLR</v>
          </cell>
          <cell r="E89">
            <v>6000000</v>
          </cell>
          <cell r="F89">
            <v>30000</v>
          </cell>
        </row>
        <row r="90">
          <cell r="B90">
            <v>2882</v>
          </cell>
          <cell r="C90" t="str">
            <v>Nguyễn Hữu Sơn</v>
          </cell>
          <cell r="D90" t="str">
            <v>OLR</v>
          </cell>
          <cell r="E90">
            <v>6000000</v>
          </cell>
          <cell r="F90">
            <v>30000</v>
          </cell>
        </row>
        <row r="91">
          <cell r="B91">
            <v>2914</v>
          </cell>
          <cell r="C91" t="str">
            <v>Vi Văn Nhất</v>
          </cell>
          <cell r="D91" t="str">
            <v>OLR</v>
          </cell>
          <cell r="E91">
            <v>6000000</v>
          </cell>
          <cell r="F91">
            <v>30000</v>
          </cell>
        </row>
        <row r="92">
          <cell r="B92">
            <v>1407</v>
          </cell>
          <cell r="C92" t="str">
            <v>Trương Quang Vân</v>
          </cell>
          <cell r="D92" t="str">
            <v>C/C</v>
          </cell>
          <cell r="E92">
            <v>6500000</v>
          </cell>
          <cell r="F92">
            <v>32500</v>
          </cell>
        </row>
        <row r="93">
          <cell r="B93">
            <v>2880</v>
          </cell>
          <cell r="C93" t="str">
            <v>Phạm Văn Thắng</v>
          </cell>
          <cell r="D93" t="str">
            <v>M/M</v>
          </cell>
          <cell r="E93">
            <v>6000000</v>
          </cell>
          <cell r="F93">
            <v>30000</v>
          </cell>
        </row>
        <row r="94">
          <cell r="B94">
            <v>2158</v>
          </cell>
          <cell r="C94" t="str">
            <v>Bùi Anh Phúc</v>
          </cell>
          <cell r="D94" t="str">
            <v>A/3/E</v>
          </cell>
          <cell r="E94">
            <v>7000000</v>
          </cell>
          <cell r="F94">
            <v>35000</v>
          </cell>
        </row>
        <row r="95">
          <cell r="B95"/>
          <cell r="C95" t="str">
            <v>Cộng</v>
          </cell>
          <cell r="D95"/>
          <cell r="E95">
            <v>150000000</v>
          </cell>
          <cell r="F95">
            <v>750000</v>
          </cell>
        </row>
        <row r="96">
          <cell r="B96" t="str">
            <v>Tàu Aquamarine</v>
          </cell>
          <cell r="C96"/>
          <cell r="D96"/>
          <cell r="E96"/>
          <cell r="F96"/>
        </row>
        <row r="97">
          <cell r="B97">
            <v>2412</v>
          </cell>
          <cell r="C97" t="str">
            <v>Võ Xuân Vinh</v>
          </cell>
          <cell r="D97" t="str">
            <v>Capt.</v>
          </cell>
          <cell r="E97">
            <v>9500000</v>
          </cell>
          <cell r="F97">
            <v>47500</v>
          </cell>
        </row>
        <row r="98">
          <cell r="B98">
            <v>1913</v>
          </cell>
          <cell r="C98" t="str">
            <v>Nguyễn Quang Huy</v>
          </cell>
          <cell r="D98" t="str">
            <v>C/O</v>
          </cell>
          <cell r="E98">
            <v>8000000</v>
          </cell>
          <cell r="F98">
            <v>40000</v>
          </cell>
        </row>
        <row r="99">
          <cell r="B99">
            <v>2156</v>
          </cell>
          <cell r="C99" t="str">
            <v>Trần Văn Long</v>
          </cell>
          <cell r="D99" t="str">
            <v>2/O</v>
          </cell>
          <cell r="E99">
            <v>7500000</v>
          </cell>
          <cell r="F99">
            <v>37500</v>
          </cell>
        </row>
        <row r="100">
          <cell r="B100">
            <v>2766</v>
          </cell>
          <cell r="C100" t="str">
            <v>Nguyễn Văn Quý</v>
          </cell>
          <cell r="D100" t="str">
            <v>3/O</v>
          </cell>
          <cell r="E100">
            <v>7000000</v>
          </cell>
          <cell r="F100">
            <v>35000</v>
          </cell>
        </row>
        <row r="101">
          <cell r="B101">
            <v>1331</v>
          </cell>
          <cell r="C101" t="str">
            <v>Lê Văn Thục</v>
          </cell>
          <cell r="D101" t="str">
            <v>C/E</v>
          </cell>
          <cell r="E101">
            <v>9000000</v>
          </cell>
          <cell r="F101">
            <v>45000</v>
          </cell>
        </row>
        <row r="102">
          <cell r="B102" t="str">
            <v>T170</v>
          </cell>
          <cell r="C102" t="str">
            <v>Đoàn Hữu Tuyên</v>
          </cell>
          <cell r="D102" t="str">
            <v>1/E</v>
          </cell>
          <cell r="E102">
            <v>8000000</v>
          </cell>
          <cell r="F102">
            <v>40000</v>
          </cell>
        </row>
        <row r="103">
          <cell r="B103">
            <v>2284</v>
          </cell>
          <cell r="C103" t="str">
            <v>Hoàng Văn Trường</v>
          </cell>
          <cell r="D103" t="str">
            <v>2/E</v>
          </cell>
          <cell r="E103">
            <v>7500000</v>
          </cell>
          <cell r="F103">
            <v>37500</v>
          </cell>
        </row>
        <row r="104">
          <cell r="B104">
            <v>2644</v>
          </cell>
          <cell r="C104" t="str">
            <v>Tiêu Hoàng Minh</v>
          </cell>
          <cell r="D104" t="str">
            <v>3/E</v>
          </cell>
          <cell r="E104">
            <v>7000000</v>
          </cell>
          <cell r="F104">
            <v>35000</v>
          </cell>
        </row>
        <row r="105">
          <cell r="B105">
            <v>2702</v>
          </cell>
          <cell r="C105" t="str">
            <v>Nguyễn Văn Đông</v>
          </cell>
          <cell r="D105" t="str">
            <v>BSN</v>
          </cell>
          <cell r="E105">
            <v>6500000</v>
          </cell>
          <cell r="F105">
            <v>32500</v>
          </cell>
        </row>
        <row r="106">
          <cell r="B106">
            <v>2805</v>
          </cell>
          <cell r="C106" t="str">
            <v>Trần Trung Hiến</v>
          </cell>
          <cell r="D106" t="str">
            <v>AB</v>
          </cell>
          <cell r="E106">
            <v>6000000</v>
          </cell>
          <cell r="F106">
            <v>30000</v>
          </cell>
        </row>
        <row r="107">
          <cell r="B107">
            <v>2919</v>
          </cell>
          <cell r="C107" t="str">
            <v>Đỗ Trung Kiên</v>
          </cell>
          <cell r="D107" t="str">
            <v>AB</v>
          </cell>
          <cell r="E107">
            <v>6000000</v>
          </cell>
          <cell r="F107">
            <v>30000</v>
          </cell>
        </row>
        <row r="108">
          <cell r="B108">
            <v>2931</v>
          </cell>
          <cell r="C108" t="str">
            <v>Phan Văn Bảo</v>
          </cell>
          <cell r="D108" t="str">
            <v>AB</v>
          </cell>
          <cell r="E108">
            <v>6000000</v>
          </cell>
          <cell r="F108">
            <v>30000</v>
          </cell>
        </row>
        <row r="109">
          <cell r="B109">
            <v>2899</v>
          </cell>
          <cell r="C109" t="str">
            <v>Trần Quang Anh</v>
          </cell>
          <cell r="D109" t="str">
            <v>AB</v>
          </cell>
          <cell r="E109">
            <v>6000000</v>
          </cell>
          <cell r="F109">
            <v>30000</v>
          </cell>
        </row>
        <row r="110">
          <cell r="B110">
            <v>3053</v>
          </cell>
          <cell r="C110" t="str">
            <v>Trần Tuấn Kiệt</v>
          </cell>
          <cell r="D110" t="str">
            <v>A.OS</v>
          </cell>
          <cell r="E110">
            <v>6000000</v>
          </cell>
          <cell r="F110">
            <v>30000</v>
          </cell>
        </row>
        <row r="111">
          <cell r="B111">
            <v>2841</v>
          </cell>
          <cell r="C111" t="str">
            <v>Hoàng Ngọc Tú</v>
          </cell>
          <cell r="D111" t="str">
            <v>No.1</v>
          </cell>
          <cell r="E111">
            <v>6500000</v>
          </cell>
          <cell r="F111">
            <v>32500</v>
          </cell>
        </row>
        <row r="112">
          <cell r="B112">
            <v>2465</v>
          </cell>
          <cell r="C112" t="str">
            <v>Phan Ngọc Trưởng</v>
          </cell>
          <cell r="D112" t="str">
            <v>OLR</v>
          </cell>
          <cell r="E112">
            <v>6000000</v>
          </cell>
          <cell r="F112">
            <v>30000</v>
          </cell>
        </row>
        <row r="113">
          <cell r="B113">
            <v>2806</v>
          </cell>
          <cell r="C113" t="str">
            <v>Lưu Văn Quý</v>
          </cell>
          <cell r="D113" t="str">
            <v>OLR</v>
          </cell>
          <cell r="E113">
            <v>6000000</v>
          </cell>
          <cell r="F113">
            <v>30000</v>
          </cell>
        </row>
        <row r="114">
          <cell r="B114">
            <v>2836</v>
          </cell>
          <cell r="C114" t="str">
            <v>Võ Văn Mão</v>
          </cell>
          <cell r="D114" t="str">
            <v>OLR</v>
          </cell>
          <cell r="E114">
            <v>6000000</v>
          </cell>
          <cell r="F114">
            <v>30000</v>
          </cell>
        </row>
        <row r="115">
          <cell r="B115">
            <v>2794</v>
          </cell>
          <cell r="C115" t="str">
            <v>Nguyễn Duy Khánh</v>
          </cell>
          <cell r="D115" t="str">
            <v>C/C</v>
          </cell>
          <cell r="E115">
            <v>6500000</v>
          </cell>
          <cell r="F115">
            <v>32500</v>
          </cell>
        </row>
        <row r="116">
          <cell r="B116">
            <v>2648</v>
          </cell>
          <cell r="C116" t="str">
            <v>Phạm Ngọc Tuyền</v>
          </cell>
          <cell r="D116" t="str">
            <v>M/M</v>
          </cell>
          <cell r="E116">
            <v>6000000</v>
          </cell>
          <cell r="F116">
            <v>30000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Đi tàu"/>
      <sheetName val="Dự trữ"/>
      <sheetName val="TV ngừng đóng"/>
      <sheetName val="Đối chiếu"/>
    </sheetNames>
    <sheetDataSet>
      <sheetData sheetId="0">
        <row r="7">
          <cell r="B7">
            <v>2114</v>
          </cell>
          <cell r="C7" t="str">
            <v>Vũ Hồng Quyết</v>
          </cell>
          <cell r="D7" t="str">
            <v>Capt.</v>
          </cell>
          <cell r="E7">
            <v>11500000</v>
          </cell>
          <cell r="F7">
            <v>1035000</v>
          </cell>
        </row>
        <row r="8">
          <cell r="B8">
            <v>1613</v>
          </cell>
          <cell r="C8" t="str">
            <v>Đào Ngọc Dưỡng</v>
          </cell>
          <cell r="D8" t="str">
            <v>C/O</v>
          </cell>
          <cell r="E8">
            <v>8500000</v>
          </cell>
          <cell r="F8">
            <v>765000</v>
          </cell>
        </row>
        <row r="9">
          <cell r="B9">
            <v>1449</v>
          </cell>
          <cell r="C9" t="str">
            <v>Lê Văn Cường</v>
          </cell>
          <cell r="D9" t="str">
            <v>2/O</v>
          </cell>
          <cell r="E9">
            <v>7500000</v>
          </cell>
          <cell r="F9">
            <v>675000</v>
          </cell>
        </row>
        <row r="10">
          <cell r="B10">
            <v>2252</v>
          </cell>
          <cell r="C10" t="str">
            <v xml:space="preserve"> Dương Đình Hoàng</v>
          </cell>
          <cell r="D10" t="str">
            <v>3/O</v>
          </cell>
          <cell r="E10">
            <v>7000000</v>
          </cell>
          <cell r="F10">
            <v>630000</v>
          </cell>
        </row>
        <row r="11">
          <cell r="B11">
            <v>2973</v>
          </cell>
          <cell r="C11" t="str">
            <v>Võ Trọng Nhàn</v>
          </cell>
          <cell r="D11" t="str">
            <v>C/E</v>
          </cell>
          <cell r="E11">
            <v>11000000</v>
          </cell>
          <cell r="F11">
            <v>990000</v>
          </cell>
        </row>
        <row r="12">
          <cell r="B12">
            <v>1572</v>
          </cell>
          <cell r="C12" t="str">
            <v>Nguyễn Văn Trung</v>
          </cell>
          <cell r="D12" t="str">
            <v>1/E</v>
          </cell>
          <cell r="E12">
            <v>8500000</v>
          </cell>
          <cell r="F12">
            <v>765000</v>
          </cell>
        </row>
        <row r="13">
          <cell r="B13">
            <v>1699</v>
          </cell>
          <cell r="C13" t="str">
            <v>Nguyễn Văn Tuấn</v>
          </cell>
          <cell r="D13" t="str">
            <v>2/E</v>
          </cell>
          <cell r="E13">
            <v>7500000</v>
          </cell>
          <cell r="F13">
            <v>675000</v>
          </cell>
        </row>
        <row r="14">
          <cell r="B14">
            <v>1512</v>
          </cell>
          <cell r="C14" t="str">
            <v>Đặng Đức Nhuận</v>
          </cell>
          <cell r="D14" t="str">
            <v>BSN</v>
          </cell>
          <cell r="E14">
            <v>6000000</v>
          </cell>
          <cell r="F14">
            <v>540000</v>
          </cell>
        </row>
        <row r="15">
          <cell r="B15">
            <v>2757</v>
          </cell>
          <cell r="C15" t="str">
            <v>Nguyễn Đức Toàn</v>
          </cell>
          <cell r="D15" t="str">
            <v>AB</v>
          </cell>
          <cell r="E15">
            <v>5600000</v>
          </cell>
          <cell r="F15">
            <v>504000</v>
          </cell>
        </row>
        <row r="16">
          <cell r="B16">
            <v>2904</v>
          </cell>
          <cell r="C16" t="str">
            <v>Hoàng Văn Hiệp</v>
          </cell>
          <cell r="D16" t="str">
            <v>AB</v>
          </cell>
          <cell r="E16">
            <v>5600000</v>
          </cell>
          <cell r="F16">
            <v>504000</v>
          </cell>
        </row>
        <row r="17">
          <cell r="B17">
            <v>2963</v>
          </cell>
          <cell r="C17" t="str">
            <v>Nguyễn Văn Sỹ</v>
          </cell>
          <cell r="D17" t="str">
            <v>AB</v>
          </cell>
          <cell r="E17">
            <v>5600000</v>
          </cell>
          <cell r="F17">
            <v>504000</v>
          </cell>
        </row>
        <row r="18">
          <cell r="B18">
            <v>3032</v>
          </cell>
          <cell r="C18" t="str">
            <v>Trần Văn Đạt</v>
          </cell>
          <cell r="D18" t="str">
            <v>OS</v>
          </cell>
          <cell r="E18">
            <v>5600000</v>
          </cell>
          <cell r="F18">
            <v>504000</v>
          </cell>
        </row>
        <row r="19">
          <cell r="B19">
            <v>2987</v>
          </cell>
          <cell r="C19" t="str">
            <v>Nguyễn Trường Thắng</v>
          </cell>
          <cell r="D19" t="str">
            <v>OS</v>
          </cell>
          <cell r="E19">
            <v>5600000</v>
          </cell>
          <cell r="F19">
            <v>504000</v>
          </cell>
        </row>
        <row r="20">
          <cell r="B20">
            <v>2852</v>
          </cell>
          <cell r="C20" t="str">
            <v>Nguyễn Đức An</v>
          </cell>
          <cell r="D20" t="str">
            <v>No.1</v>
          </cell>
          <cell r="E20">
            <v>6000000</v>
          </cell>
          <cell r="F20">
            <v>540000</v>
          </cell>
        </row>
        <row r="21">
          <cell r="B21">
            <v>2877</v>
          </cell>
          <cell r="C21" t="str">
            <v>Trương Văn Điệp</v>
          </cell>
          <cell r="D21" t="str">
            <v>OLR</v>
          </cell>
          <cell r="E21">
            <v>5600000</v>
          </cell>
          <cell r="F21">
            <v>504000</v>
          </cell>
        </row>
        <row r="22">
          <cell r="B22">
            <v>2813</v>
          </cell>
          <cell r="C22" t="str">
            <v>Hoàng Mạnh Cường</v>
          </cell>
          <cell r="D22" t="str">
            <v>OLR</v>
          </cell>
          <cell r="E22">
            <v>5600000</v>
          </cell>
          <cell r="F22">
            <v>504000</v>
          </cell>
        </row>
        <row r="23">
          <cell r="B23">
            <v>2796</v>
          </cell>
          <cell r="C23" t="str">
            <v>Cao Xuân Ánh</v>
          </cell>
          <cell r="D23" t="str">
            <v>OLR</v>
          </cell>
          <cell r="E23">
            <v>5600000</v>
          </cell>
          <cell r="F23">
            <v>504000</v>
          </cell>
        </row>
        <row r="24">
          <cell r="B24">
            <v>1756</v>
          </cell>
          <cell r="C24" t="str">
            <v>Võ Hoàng Khanh</v>
          </cell>
          <cell r="D24" t="str">
            <v>C/C</v>
          </cell>
          <cell r="E24">
            <v>6000000</v>
          </cell>
          <cell r="F24">
            <v>540000</v>
          </cell>
        </row>
        <row r="25">
          <cell r="B25">
            <v>3047</v>
          </cell>
          <cell r="C25" t="str">
            <v>Vũ Văn Tuyền</v>
          </cell>
          <cell r="D25" t="str">
            <v>M/M</v>
          </cell>
          <cell r="E25">
            <v>5600000</v>
          </cell>
          <cell r="F25">
            <v>504000</v>
          </cell>
        </row>
        <row r="26">
          <cell r="B26">
            <v>3036</v>
          </cell>
          <cell r="C26" t="str">
            <v>Trần Quốc Anh</v>
          </cell>
          <cell r="D26" t="str">
            <v>A.OS</v>
          </cell>
          <cell r="E26">
            <v>5600000</v>
          </cell>
          <cell r="F26">
            <v>504000</v>
          </cell>
        </row>
        <row r="27">
          <cell r="B27" t="str">
            <v>TV334</v>
          </cell>
          <cell r="C27" t="str">
            <v>Nguyễn Văn San</v>
          </cell>
          <cell r="D27" t="str">
            <v>3/E</v>
          </cell>
          <cell r="E27">
            <v>7000000</v>
          </cell>
          <cell r="F27">
            <v>1925000</v>
          </cell>
        </row>
        <row r="28">
          <cell r="B28"/>
          <cell r="C28" t="str">
            <v>Tổng cộng</v>
          </cell>
          <cell r="D28"/>
          <cell r="E28">
            <v>142500000</v>
          </cell>
          <cell r="F28">
            <v>14120000</v>
          </cell>
        </row>
        <row r="29">
          <cell r="B29" t="str">
            <v>Tàu Inlaco Harmony</v>
          </cell>
          <cell r="C29"/>
          <cell r="D29"/>
          <cell r="E29"/>
          <cell r="F29"/>
        </row>
        <row r="30">
          <cell r="B30">
            <v>1003</v>
          </cell>
          <cell r="C30" t="str">
            <v>Đặng Văn Thiệp</v>
          </cell>
          <cell r="D30" t="str">
            <v>Capt.</v>
          </cell>
          <cell r="E30">
            <v>11500000</v>
          </cell>
          <cell r="F30">
            <v>1035000</v>
          </cell>
        </row>
        <row r="31">
          <cell r="B31">
            <v>1857</v>
          </cell>
          <cell r="C31" t="str">
            <v>Lê Công Sơn</v>
          </cell>
          <cell r="D31" t="str">
            <v>C/O</v>
          </cell>
          <cell r="E31">
            <v>8500000</v>
          </cell>
          <cell r="F31">
            <v>765000</v>
          </cell>
        </row>
        <row r="32">
          <cell r="B32">
            <v>2790</v>
          </cell>
          <cell r="C32" t="str">
            <v>Bùi Mạnh Tùng</v>
          </cell>
          <cell r="D32" t="str">
            <v>2/O</v>
          </cell>
          <cell r="E32">
            <v>7500000</v>
          </cell>
          <cell r="F32">
            <v>675000</v>
          </cell>
        </row>
        <row r="33">
          <cell r="B33">
            <v>3006</v>
          </cell>
          <cell r="C33" t="str">
            <v>Thái Văn Dương</v>
          </cell>
          <cell r="D33" t="str">
            <v>3/O</v>
          </cell>
          <cell r="E33">
            <v>7000000</v>
          </cell>
          <cell r="F33">
            <v>630000</v>
          </cell>
        </row>
        <row r="34">
          <cell r="B34">
            <v>744</v>
          </cell>
          <cell r="C34" t="str">
            <v>Phạm Phương Nam</v>
          </cell>
          <cell r="D34" t="str">
            <v>C/E</v>
          </cell>
          <cell r="E34">
            <v>11000000</v>
          </cell>
          <cell r="F34">
            <v>990000</v>
          </cell>
        </row>
        <row r="35">
          <cell r="B35">
            <v>1565</v>
          </cell>
          <cell r="C35" t="str">
            <v>Trần Hồng Tự</v>
          </cell>
          <cell r="D35" t="str">
            <v>1/E</v>
          </cell>
          <cell r="E35">
            <v>8500000</v>
          </cell>
          <cell r="F35">
            <v>765000</v>
          </cell>
        </row>
        <row r="36">
          <cell r="B36">
            <v>2920</v>
          </cell>
          <cell r="C36" t="str">
            <v>Châu Anh Tú</v>
          </cell>
          <cell r="D36" t="str">
            <v>2/E</v>
          </cell>
          <cell r="E36">
            <v>7500000</v>
          </cell>
          <cell r="F36">
            <v>675000</v>
          </cell>
        </row>
        <row r="37">
          <cell r="B37">
            <v>2690</v>
          </cell>
          <cell r="C37" t="str">
            <v>Bùi Hoàng Phú</v>
          </cell>
          <cell r="D37" t="str">
            <v>3/E</v>
          </cell>
          <cell r="E37">
            <v>7000000</v>
          </cell>
          <cell r="F37">
            <v>630000</v>
          </cell>
        </row>
        <row r="38">
          <cell r="B38">
            <v>1440</v>
          </cell>
          <cell r="C38" t="str">
            <v>Vũ Văn Bắc</v>
          </cell>
          <cell r="D38" t="str">
            <v>BSN</v>
          </cell>
          <cell r="E38">
            <v>6000000</v>
          </cell>
          <cell r="F38">
            <v>540000</v>
          </cell>
        </row>
        <row r="39">
          <cell r="B39">
            <v>2782</v>
          </cell>
          <cell r="C39" t="str">
            <v>Phạm Xuân Trường</v>
          </cell>
          <cell r="D39" t="str">
            <v>AB</v>
          </cell>
          <cell r="E39">
            <v>5600000</v>
          </cell>
          <cell r="F39">
            <v>504000</v>
          </cell>
        </row>
        <row r="40">
          <cell r="B40">
            <v>2872</v>
          </cell>
          <cell r="C40" t="str">
            <v>Lê Văn Nghĩa</v>
          </cell>
          <cell r="D40" t="str">
            <v>AB</v>
          </cell>
          <cell r="E40">
            <v>5600000</v>
          </cell>
          <cell r="F40">
            <v>504000</v>
          </cell>
        </row>
        <row r="41">
          <cell r="B41">
            <v>1853</v>
          </cell>
          <cell r="C41" t="str">
            <v>Nguyễn Hồng Sơn</v>
          </cell>
          <cell r="D41" t="str">
            <v>AB</v>
          </cell>
          <cell r="E41">
            <v>5600000</v>
          </cell>
          <cell r="F41">
            <v>504000</v>
          </cell>
        </row>
        <row r="42">
          <cell r="B42">
            <v>3041</v>
          </cell>
          <cell r="C42" t="str">
            <v>Nguyễn Quang Dũng</v>
          </cell>
          <cell r="D42" t="str">
            <v>OS</v>
          </cell>
          <cell r="E42">
            <v>5600000</v>
          </cell>
          <cell r="F42">
            <v>504000</v>
          </cell>
        </row>
        <row r="43">
          <cell r="B43">
            <v>2538</v>
          </cell>
          <cell r="C43" t="str">
            <v>Lê Hồng Sơn</v>
          </cell>
          <cell r="D43" t="str">
            <v>OS</v>
          </cell>
          <cell r="E43">
            <v>5600000</v>
          </cell>
          <cell r="F43">
            <v>504000</v>
          </cell>
        </row>
        <row r="44">
          <cell r="B44">
            <v>1375</v>
          </cell>
          <cell r="C44" t="str">
            <v>Nguyễn Đức Điển</v>
          </cell>
          <cell r="D44" t="str">
            <v>No.1</v>
          </cell>
          <cell r="E44">
            <v>6000000</v>
          </cell>
          <cell r="F44">
            <v>540000</v>
          </cell>
        </row>
        <row r="45">
          <cell r="B45">
            <v>2547</v>
          </cell>
          <cell r="C45" t="str">
            <v>Nguyễn Văn Khanh</v>
          </cell>
          <cell r="D45" t="str">
            <v>OLR</v>
          </cell>
          <cell r="E45">
            <v>5600000</v>
          </cell>
          <cell r="F45">
            <v>504000</v>
          </cell>
        </row>
        <row r="46">
          <cell r="B46">
            <v>2706</v>
          </cell>
          <cell r="C46" t="str">
            <v>Trần Ngọc Khải</v>
          </cell>
          <cell r="D46" t="str">
            <v>OLR</v>
          </cell>
          <cell r="E46">
            <v>5600000</v>
          </cell>
          <cell r="F46">
            <v>504000</v>
          </cell>
        </row>
        <row r="47">
          <cell r="B47">
            <v>2760</v>
          </cell>
          <cell r="C47" t="str">
            <v>Phạm Hoàng Hải</v>
          </cell>
          <cell r="D47" t="str">
            <v>OLR</v>
          </cell>
          <cell r="E47">
            <v>5600000</v>
          </cell>
          <cell r="F47">
            <v>504000</v>
          </cell>
        </row>
        <row r="48">
          <cell r="B48">
            <v>2095</v>
          </cell>
          <cell r="C48" t="str">
            <v>Trần Minh Thanh</v>
          </cell>
          <cell r="D48" t="str">
            <v>C/C</v>
          </cell>
          <cell r="E48">
            <v>6000000</v>
          </cell>
          <cell r="F48">
            <v>540000</v>
          </cell>
        </row>
        <row r="49">
          <cell r="B49">
            <v>2457</v>
          </cell>
          <cell r="C49" t="str">
            <v>Trịnh Thế Hùng</v>
          </cell>
          <cell r="D49" t="str">
            <v>M/M</v>
          </cell>
          <cell r="E49">
            <v>5600000</v>
          </cell>
          <cell r="F49">
            <v>504000</v>
          </cell>
        </row>
        <row r="50">
          <cell r="B50"/>
          <cell r="C50" t="str">
            <v>Tổng cộng</v>
          </cell>
          <cell r="D50"/>
          <cell r="E50">
            <v>136900000</v>
          </cell>
          <cell r="F50">
            <v>12321000</v>
          </cell>
        </row>
        <row r="51">
          <cell r="B51" t="str">
            <v>Tàu Inlaco Express</v>
          </cell>
          <cell r="C51"/>
          <cell r="D51"/>
          <cell r="E51"/>
          <cell r="F51"/>
        </row>
        <row r="52">
          <cell r="B52">
            <v>748</v>
          </cell>
          <cell r="C52" t="str">
            <v>Thành Anh Duy</v>
          </cell>
          <cell r="D52" t="str">
            <v>Capt.</v>
          </cell>
          <cell r="E52">
            <v>11500000</v>
          </cell>
          <cell r="F52">
            <v>1035000</v>
          </cell>
        </row>
        <row r="53">
          <cell r="B53">
            <v>2135</v>
          </cell>
          <cell r="C53" t="str">
            <v>Vũ Tuấn Anh</v>
          </cell>
          <cell r="D53" t="str">
            <v>C/O</v>
          </cell>
          <cell r="E53">
            <v>8500000</v>
          </cell>
          <cell r="F53">
            <v>765000</v>
          </cell>
        </row>
        <row r="54">
          <cell r="B54">
            <v>1471</v>
          </cell>
          <cell r="C54" t="str">
            <v>Nguyễn Đình Hương</v>
          </cell>
          <cell r="D54" t="str">
            <v>2/O</v>
          </cell>
          <cell r="E54">
            <v>7500000</v>
          </cell>
          <cell r="F54">
            <v>675000</v>
          </cell>
        </row>
        <row r="55">
          <cell r="B55">
            <v>2918</v>
          </cell>
          <cell r="C55" t="str">
            <v xml:space="preserve"> Dương Công Song</v>
          </cell>
          <cell r="D55" t="str">
            <v>3/O</v>
          </cell>
          <cell r="E55">
            <v>7000000</v>
          </cell>
          <cell r="F55">
            <v>630000</v>
          </cell>
        </row>
        <row r="56">
          <cell r="B56">
            <v>1364</v>
          </cell>
          <cell r="C56" t="str">
            <v>Trần Đức Thành</v>
          </cell>
          <cell r="D56" t="str">
            <v>C/E</v>
          </cell>
          <cell r="E56">
            <v>11000000</v>
          </cell>
          <cell r="F56">
            <v>990000</v>
          </cell>
        </row>
        <row r="57">
          <cell r="B57">
            <v>2285</v>
          </cell>
          <cell r="C57" t="str">
            <v>Đỗ Xuân Khang</v>
          </cell>
          <cell r="D57" t="str">
            <v>1/E</v>
          </cell>
          <cell r="E57">
            <v>8500000</v>
          </cell>
          <cell r="F57">
            <v>765000</v>
          </cell>
        </row>
        <row r="58">
          <cell r="B58">
            <v>2249</v>
          </cell>
          <cell r="C58" t="str">
            <v>Ngô Văn Quyền</v>
          </cell>
          <cell r="D58" t="str">
            <v>2/E</v>
          </cell>
          <cell r="E58">
            <v>7500000</v>
          </cell>
          <cell r="F58">
            <v>675000</v>
          </cell>
        </row>
        <row r="59">
          <cell r="B59">
            <v>2701</v>
          </cell>
          <cell r="C59" t="str">
            <v>Trần Văn Kiên</v>
          </cell>
          <cell r="D59" t="str">
            <v>3/E</v>
          </cell>
          <cell r="E59">
            <v>7000000</v>
          </cell>
          <cell r="F59">
            <v>630000</v>
          </cell>
        </row>
        <row r="60">
          <cell r="B60">
            <v>2817</v>
          </cell>
          <cell r="C60" t="str">
            <v>Mai Huy Du</v>
          </cell>
          <cell r="D60" t="str">
            <v>BSN</v>
          </cell>
          <cell r="E60">
            <v>6000000</v>
          </cell>
          <cell r="F60">
            <v>540000</v>
          </cell>
        </row>
        <row r="61">
          <cell r="B61">
            <v>2985</v>
          </cell>
          <cell r="C61" t="str">
            <v>Mai Thanh Hiếu</v>
          </cell>
          <cell r="D61" t="str">
            <v>AB</v>
          </cell>
          <cell r="E61">
            <v>5600000</v>
          </cell>
          <cell r="F61">
            <v>504000</v>
          </cell>
        </row>
        <row r="62">
          <cell r="B62">
            <v>2602</v>
          </cell>
          <cell r="C62" t="str">
            <v>Nguyễn Viết Quang</v>
          </cell>
          <cell r="D62" t="str">
            <v>AB</v>
          </cell>
          <cell r="E62">
            <v>5600000</v>
          </cell>
          <cell r="F62">
            <v>504000</v>
          </cell>
        </row>
        <row r="63">
          <cell r="B63">
            <v>2859</v>
          </cell>
          <cell r="C63" t="str">
            <v>Trần Văn Thế</v>
          </cell>
          <cell r="D63" t="str">
            <v>AB</v>
          </cell>
          <cell r="E63">
            <v>5600000</v>
          </cell>
          <cell r="F63">
            <v>504000</v>
          </cell>
        </row>
        <row r="64">
          <cell r="B64">
            <v>2834</v>
          </cell>
          <cell r="C64" t="str">
            <v>Hồ Thân Minh</v>
          </cell>
          <cell r="D64" t="str">
            <v>OS</v>
          </cell>
          <cell r="E64">
            <v>5600000</v>
          </cell>
          <cell r="F64">
            <v>504000</v>
          </cell>
        </row>
        <row r="65">
          <cell r="B65">
            <v>3003</v>
          </cell>
          <cell r="C65" t="str">
            <v>Kiều Quốc Huy</v>
          </cell>
          <cell r="D65" t="str">
            <v>OS</v>
          </cell>
          <cell r="E65">
            <v>5600000</v>
          </cell>
          <cell r="F65">
            <v>504000</v>
          </cell>
        </row>
        <row r="66">
          <cell r="B66">
            <v>2789</v>
          </cell>
          <cell r="C66" t="str">
            <v>Nguyễn Văn Diễn</v>
          </cell>
          <cell r="D66" t="str">
            <v>No.1</v>
          </cell>
          <cell r="E66">
            <v>6000000</v>
          </cell>
          <cell r="F66">
            <v>540000</v>
          </cell>
        </row>
        <row r="67">
          <cell r="B67">
            <v>2827</v>
          </cell>
          <cell r="C67" t="str">
            <v>Lê Văn Trọng</v>
          </cell>
          <cell r="D67" t="str">
            <v>OLR</v>
          </cell>
          <cell r="E67">
            <v>5600000</v>
          </cell>
          <cell r="F67">
            <v>504000</v>
          </cell>
        </row>
        <row r="68">
          <cell r="B68">
            <v>2886</v>
          </cell>
          <cell r="C68" t="str">
            <v xml:space="preserve"> Dương Đình Trường</v>
          </cell>
          <cell r="D68" t="str">
            <v>OLR</v>
          </cell>
          <cell r="E68">
            <v>5600000</v>
          </cell>
          <cell r="F68">
            <v>504000</v>
          </cell>
        </row>
        <row r="69">
          <cell r="B69">
            <v>2912</v>
          </cell>
          <cell r="C69" t="str">
            <v>Lê Văn Giác</v>
          </cell>
          <cell r="D69" t="str">
            <v>OLR</v>
          </cell>
          <cell r="E69">
            <v>5600000</v>
          </cell>
          <cell r="F69">
            <v>504000</v>
          </cell>
        </row>
        <row r="70">
          <cell r="B70">
            <v>2929</v>
          </cell>
          <cell r="C70" t="str">
            <v>Nguyễn Văn Luật</v>
          </cell>
          <cell r="D70" t="str">
            <v>C/C</v>
          </cell>
          <cell r="E70">
            <v>6000000</v>
          </cell>
          <cell r="F70">
            <v>540000</v>
          </cell>
        </row>
        <row r="71">
          <cell r="B71">
            <v>3035</v>
          </cell>
          <cell r="C71" t="str">
            <v>Bùi Trung Hiếu</v>
          </cell>
          <cell r="D71" t="str">
            <v>M/M</v>
          </cell>
          <cell r="E71">
            <v>5600000</v>
          </cell>
          <cell r="F71">
            <v>504000</v>
          </cell>
        </row>
        <row r="72">
          <cell r="B72">
            <v>3029</v>
          </cell>
          <cell r="C72" t="str">
            <v>Lê Quốc Thảo</v>
          </cell>
          <cell r="D72" t="str">
            <v>Elect.</v>
          </cell>
          <cell r="E72">
            <v>5600000</v>
          </cell>
          <cell r="F72">
            <v>504000</v>
          </cell>
        </row>
        <row r="73">
          <cell r="B73"/>
          <cell r="C73" t="str">
            <v>Tổng cộng</v>
          </cell>
          <cell r="D73"/>
          <cell r="E73">
            <v>142500000</v>
          </cell>
          <cell r="F73">
            <v>12825000</v>
          </cell>
        </row>
        <row r="74">
          <cell r="B74" t="str">
            <v>Tàu Thanh Thủy</v>
          </cell>
          <cell r="C74"/>
          <cell r="D74"/>
          <cell r="E74"/>
          <cell r="F74"/>
        </row>
        <row r="75">
          <cell r="B75">
            <v>1300</v>
          </cell>
          <cell r="C75" t="str">
            <v>Lê Ngọc Lương</v>
          </cell>
          <cell r="D75" t="str">
            <v>Capt.</v>
          </cell>
          <cell r="E75">
            <v>9000000</v>
          </cell>
          <cell r="F75">
            <v>810000</v>
          </cell>
        </row>
        <row r="76">
          <cell r="B76">
            <v>1961</v>
          </cell>
          <cell r="C76" t="str">
            <v xml:space="preserve"> Dư Thành Giảo</v>
          </cell>
          <cell r="D76" t="str">
            <v>C/O</v>
          </cell>
          <cell r="E76">
            <v>7500000</v>
          </cell>
          <cell r="F76">
            <v>675000</v>
          </cell>
        </row>
        <row r="77">
          <cell r="B77">
            <v>1811</v>
          </cell>
          <cell r="C77" t="str">
            <v>Trần Nam Dân</v>
          </cell>
          <cell r="D77" t="str">
            <v>2/O</v>
          </cell>
          <cell r="E77">
            <v>7000000</v>
          </cell>
          <cell r="F77">
            <v>630000</v>
          </cell>
        </row>
        <row r="78">
          <cell r="B78">
            <v>2425</v>
          </cell>
          <cell r="C78" t="str">
            <v xml:space="preserve"> Dương Ngọc Khuê</v>
          </cell>
          <cell r="D78" t="str">
            <v>3/O</v>
          </cell>
          <cell r="E78">
            <v>6000000</v>
          </cell>
          <cell r="F78">
            <v>540000</v>
          </cell>
        </row>
        <row r="79">
          <cell r="B79">
            <v>1463</v>
          </cell>
          <cell r="C79" t="str">
            <v>Vũ Khắc Ấn</v>
          </cell>
          <cell r="D79" t="str">
            <v>C/E</v>
          </cell>
          <cell r="E79">
            <v>8700000</v>
          </cell>
          <cell r="F79">
            <v>783000</v>
          </cell>
        </row>
        <row r="80">
          <cell r="B80">
            <v>1889</v>
          </cell>
          <cell r="C80" t="str">
            <v>Trần Minh Phong</v>
          </cell>
          <cell r="D80" t="str">
            <v>1/E</v>
          </cell>
          <cell r="E80">
            <v>7500000</v>
          </cell>
          <cell r="F80">
            <v>675000</v>
          </cell>
        </row>
        <row r="81">
          <cell r="B81">
            <v>2408</v>
          </cell>
          <cell r="C81" t="str">
            <v>Trương Quốc Cường</v>
          </cell>
          <cell r="D81" t="str">
            <v>2/E</v>
          </cell>
          <cell r="E81">
            <v>7000000</v>
          </cell>
          <cell r="F81">
            <v>630000</v>
          </cell>
        </row>
        <row r="82">
          <cell r="B82">
            <v>2431</v>
          </cell>
          <cell r="C82" t="str">
            <v>Đào Văn Nam</v>
          </cell>
          <cell r="D82" t="str">
            <v>3/E</v>
          </cell>
          <cell r="E82">
            <v>6000000</v>
          </cell>
          <cell r="F82">
            <v>540000</v>
          </cell>
        </row>
        <row r="83">
          <cell r="B83" t="str">
            <v>T406</v>
          </cell>
          <cell r="C83" t="str">
            <v>Phạm Phú Khánh</v>
          </cell>
          <cell r="D83" t="str">
            <v>BSN</v>
          </cell>
          <cell r="E83">
            <v>5600000</v>
          </cell>
          <cell r="F83">
            <v>504000</v>
          </cell>
        </row>
        <row r="84">
          <cell r="B84">
            <v>2575</v>
          </cell>
          <cell r="C84" t="str">
            <v>Lê Ngọc Hồng Sơn</v>
          </cell>
          <cell r="D84" t="str">
            <v>AB</v>
          </cell>
          <cell r="E84">
            <v>5600000</v>
          </cell>
          <cell r="F84">
            <v>504000</v>
          </cell>
        </row>
        <row r="85">
          <cell r="B85">
            <v>2889</v>
          </cell>
          <cell r="C85" t="str">
            <v xml:space="preserve"> Dương Đình Huấn</v>
          </cell>
          <cell r="D85" t="str">
            <v>AB</v>
          </cell>
          <cell r="E85">
            <v>5600000</v>
          </cell>
          <cell r="F85">
            <v>504000</v>
          </cell>
        </row>
        <row r="86">
          <cell r="B86">
            <v>2755</v>
          </cell>
          <cell r="C86" t="str">
            <v>Nguyễn Tiến Thuật</v>
          </cell>
          <cell r="D86" t="str">
            <v>AB</v>
          </cell>
          <cell r="E86">
            <v>5600000</v>
          </cell>
          <cell r="F86">
            <v>504000</v>
          </cell>
        </row>
        <row r="87">
          <cell r="B87">
            <v>2896</v>
          </cell>
          <cell r="C87" t="str">
            <v>Nguyễn Đức Trà</v>
          </cell>
          <cell r="D87" t="str">
            <v>AB</v>
          </cell>
          <cell r="E87">
            <v>5600000</v>
          </cell>
          <cell r="F87">
            <v>504000</v>
          </cell>
        </row>
        <row r="88">
          <cell r="B88">
            <v>2868</v>
          </cell>
          <cell r="C88" t="str">
            <v>Vũ Văn Tiến</v>
          </cell>
          <cell r="D88" t="str">
            <v>OS</v>
          </cell>
          <cell r="E88">
            <v>5600000</v>
          </cell>
          <cell r="F88">
            <v>504000</v>
          </cell>
        </row>
        <row r="89">
          <cell r="B89">
            <v>2744</v>
          </cell>
          <cell r="C89" t="str">
            <v>Nguyễn Văn Mạnh</v>
          </cell>
          <cell r="D89" t="str">
            <v>No.1</v>
          </cell>
          <cell r="E89">
            <v>5600000</v>
          </cell>
          <cell r="F89">
            <v>504000</v>
          </cell>
        </row>
        <row r="90">
          <cell r="B90">
            <v>2881</v>
          </cell>
          <cell r="C90" t="str">
            <v>Vũ Quốc Việt</v>
          </cell>
          <cell r="D90" t="str">
            <v>OLR</v>
          </cell>
          <cell r="E90">
            <v>5600000</v>
          </cell>
          <cell r="F90">
            <v>504000</v>
          </cell>
        </row>
        <row r="91">
          <cell r="B91">
            <v>2864</v>
          </cell>
          <cell r="C91" t="str">
            <v>Phạm Việt Hùng</v>
          </cell>
          <cell r="D91" t="str">
            <v>OLR</v>
          </cell>
          <cell r="E91">
            <v>5600000</v>
          </cell>
          <cell r="F91">
            <v>504000</v>
          </cell>
        </row>
        <row r="92">
          <cell r="B92">
            <v>2882</v>
          </cell>
          <cell r="C92" t="str">
            <v>Nguyễn Hữu Sơn</v>
          </cell>
          <cell r="D92" t="str">
            <v>OLR</v>
          </cell>
          <cell r="E92">
            <v>5600000</v>
          </cell>
          <cell r="F92">
            <v>504000</v>
          </cell>
        </row>
        <row r="93">
          <cell r="B93">
            <v>2914</v>
          </cell>
          <cell r="C93" t="str">
            <v>Vi Văn Nhất</v>
          </cell>
          <cell r="D93" t="str">
            <v>WPR</v>
          </cell>
          <cell r="E93">
            <v>5600000</v>
          </cell>
          <cell r="F93">
            <v>504000</v>
          </cell>
        </row>
        <row r="94">
          <cell r="B94">
            <v>1407</v>
          </cell>
          <cell r="C94" t="str">
            <v>Trương Quang Vân</v>
          </cell>
          <cell r="D94" t="str">
            <v>C/C</v>
          </cell>
          <cell r="E94">
            <v>5600000</v>
          </cell>
          <cell r="F94">
            <v>504000</v>
          </cell>
        </row>
        <row r="95">
          <cell r="B95">
            <v>2880</v>
          </cell>
          <cell r="C95" t="str">
            <v>Phạm Văn Thắng</v>
          </cell>
          <cell r="D95" t="str">
            <v>M/M</v>
          </cell>
          <cell r="E95">
            <v>5600000</v>
          </cell>
          <cell r="F95">
            <v>504000</v>
          </cell>
        </row>
        <row r="96">
          <cell r="B96">
            <v>2158</v>
          </cell>
          <cell r="C96" t="str">
            <v>Bùi Anh Phúc</v>
          </cell>
          <cell r="D96" t="str">
            <v>A.3/E</v>
          </cell>
          <cell r="E96">
            <v>6000000</v>
          </cell>
          <cell r="F96">
            <v>540000</v>
          </cell>
        </row>
        <row r="97">
          <cell r="B97" t="str">
            <v>TV343</v>
          </cell>
          <cell r="C97" t="str">
            <v>Ngô Tuấn Kiệt</v>
          </cell>
          <cell r="D97" t="str">
            <v>OS</v>
          </cell>
          <cell r="E97">
            <v>5600000</v>
          </cell>
          <cell r="F97">
            <v>1540000</v>
          </cell>
        </row>
        <row r="98">
          <cell r="B98"/>
          <cell r="C98" t="str">
            <v>Tổng cộng</v>
          </cell>
          <cell r="D98"/>
          <cell r="E98">
            <v>143100000</v>
          </cell>
          <cell r="F98">
            <v>13915000</v>
          </cell>
        </row>
        <row r="99">
          <cell r="B99" t="str">
            <v>Tàu Aquamarine</v>
          </cell>
          <cell r="C99"/>
          <cell r="D99"/>
          <cell r="E99"/>
          <cell r="F99"/>
        </row>
        <row r="100">
          <cell r="B100">
            <v>2412</v>
          </cell>
          <cell r="C100" t="str">
            <v>Võ Xuân Vinh</v>
          </cell>
          <cell r="D100" t="str">
            <v>Capt.</v>
          </cell>
          <cell r="E100">
            <v>9000000</v>
          </cell>
          <cell r="F100">
            <v>810000</v>
          </cell>
        </row>
        <row r="101">
          <cell r="B101">
            <v>2354</v>
          </cell>
          <cell r="C101" t="str">
            <v>Lê Công Trịnh</v>
          </cell>
          <cell r="D101" t="str">
            <v>C/O</v>
          </cell>
          <cell r="E101">
            <v>7500000</v>
          </cell>
          <cell r="F101">
            <v>675000</v>
          </cell>
        </row>
        <row r="102">
          <cell r="B102">
            <v>2156</v>
          </cell>
          <cell r="C102" t="str">
            <v>Trần Văn Long</v>
          </cell>
          <cell r="D102" t="str">
            <v>3/O</v>
          </cell>
          <cell r="E102">
            <v>6000000</v>
          </cell>
          <cell r="F102">
            <v>540000</v>
          </cell>
        </row>
        <row r="103">
          <cell r="B103">
            <v>1253</v>
          </cell>
          <cell r="C103" t="str">
            <v>Nguyễn Quang Bạo</v>
          </cell>
          <cell r="D103" t="str">
            <v>C/E</v>
          </cell>
          <cell r="E103">
            <v>8700000</v>
          </cell>
          <cell r="F103">
            <v>783000</v>
          </cell>
        </row>
        <row r="104">
          <cell r="B104" t="str">
            <v>T170</v>
          </cell>
          <cell r="C104" t="str">
            <v>Đoàn Hữu Tuyên</v>
          </cell>
          <cell r="D104" t="str">
            <v>1/E</v>
          </cell>
          <cell r="E104">
            <v>7500000</v>
          </cell>
          <cell r="F104">
            <v>675000</v>
          </cell>
        </row>
        <row r="105">
          <cell r="B105">
            <v>2284</v>
          </cell>
          <cell r="C105" t="str">
            <v>Hoàng Văn Trường</v>
          </cell>
          <cell r="D105" t="str">
            <v>2/E</v>
          </cell>
          <cell r="E105">
            <v>7000000</v>
          </cell>
          <cell r="F105">
            <v>630000</v>
          </cell>
        </row>
        <row r="106">
          <cell r="B106">
            <v>2549</v>
          </cell>
          <cell r="C106" t="str">
            <v>Đặng Quang Toản</v>
          </cell>
          <cell r="D106" t="str">
            <v>3/E</v>
          </cell>
          <cell r="E106">
            <v>6000000</v>
          </cell>
          <cell r="F106">
            <v>540000</v>
          </cell>
        </row>
        <row r="107">
          <cell r="B107">
            <v>2581</v>
          </cell>
          <cell r="C107" t="str">
            <v>Nguyễn Quang Đức</v>
          </cell>
          <cell r="D107" t="str">
            <v>BSN</v>
          </cell>
          <cell r="E107">
            <v>5600000</v>
          </cell>
          <cell r="F107">
            <v>504000</v>
          </cell>
        </row>
        <row r="108">
          <cell r="B108">
            <v>2931</v>
          </cell>
          <cell r="C108" t="str">
            <v>Phan Văn Bảo</v>
          </cell>
          <cell r="D108" t="str">
            <v>AB</v>
          </cell>
          <cell r="E108">
            <v>5600000</v>
          </cell>
          <cell r="F108">
            <v>504000</v>
          </cell>
        </row>
        <row r="109">
          <cell r="B109">
            <v>2805</v>
          </cell>
          <cell r="C109" t="str">
            <v>Trần Trung Hiến</v>
          </cell>
          <cell r="D109" t="str">
            <v>AB</v>
          </cell>
          <cell r="E109">
            <v>5600000</v>
          </cell>
          <cell r="F109">
            <v>504000</v>
          </cell>
        </row>
        <row r="110">
          <cell r="B110">
            <v>2899</v>
          </cell>
          <cell r="C110" t="str">
            <v>Trần Quang Anh</v>
          </cell>
          <cell r="D110" t="str">
            <v>AB</v>
          </cell>
          <cell r="E110">
            <v>5600000</v>
          </cell>
          <cell r="F110">
            <v>504000</v>
          </cell>
        </row>
        <row r="111">
          <cell r="B111">
            <v>3031</v>
          </cell>
          <cell r="C111" t="str">
            <v>Vũ Trần Đình</v>
          </cell>
          <cell r="D111" t="str">
            <v>OS</v>
          </cell>
          <cell r="E111">
            <v>5600000</v>
          </cell>
          <cell r="F111">
            <v>504000</v>
          </cell>
        </row>
        <row r="112">
          <cell r="B112">
            <v>2991</v>
          </cell>
          <cell r="C112" t="str">
            <v>Vũ Thái Hoàng</v>
          </cell>
          <cell r="D112" t="str">
            <v>OS</v>
          </cell>
          <cell r="E112">
            <v>5600000</v>
          </cell>
          <cell r="F112">
            <v>504000</v>
          </cell>
        </row>
        <row r="113">
          <cell r="B113">
            <v>2815</v>
          </cell>
          <cell r="C113" t="str">
            <v>Nguyễn Trọng Hiếu</v>
          </cell>
          <cell r="D113" t="str">
            <v>No.1</v>
          </cell>
          <cell r="E113">
            <v>5600000</v>
          </cell>
          <cell r="F113">
            <v>504000</v>
          </cell>
        </row>
        <row r="114">
          <cell r="B114">
            <v>2964</v>
          </cell>
          <cell r="C114" t="str">
            <v>Bùi Ngọc Bình</v>
          </cell>
          <cell r="D114" t="str">
            <v>OLR</v>
          </cell>
          <cell r="E114">
            <v>5600000</v>
          </cell>
          <cell r="F114">
            <v>504000</v>
          </cell>
        </row>
        <row r="115">
          <cell r="B115">
            <v>2465</v>
          </cell>
          <cell r="C115" t="str">
            <v>Phan Ngọc Trưởng</v>
          </cell>
          <cell r="D115" t="str">
            <v>OLR</v>
          </cell>
          <cell r="E115">
            <v>5600000</v>
          </cell>
          <cell r="F115">
            <v>504000</v>
          </cell>
        </row>
        <row r="116">
          <cell r="B116">
            <v>2836</v>
          </cell>
          <cell r="C116" t="str">
            <v>Võ Văn Mão</v>
          </cell>
          <cell r="D116" t="str">
            <v>OLR</v>
          </cell>
          <cell r="E116">
            <v>5600000</v>
          </cell>
          <cell r="F116">
            <v>504000</v>
          </cell>
        </row>
        <row r="117">
          <cell r="B117">
            <v>1676</v>
          </cell>
          <cell r="C117" t="str">
            <v>Mai Văn Hạ</v>
          </cell>
          <cell r="D117" t="str">
            <v>C/C</v>
          </cell>
          <cell r="E117">
            <v>5600000</v>
          </cell>
          <cell r="F117">
            <v>504000</v>
          </cell>
        </row>
        <row r="118">
          <cell r="B118">
            <v>2933</v>
          </cell>
          <cell r="C118" t="str">
            <v>Nguyễn Văn Khanh</v>
          </cell>
          <cell r="D118" t="str">
            <v>M/M</v>
          </cell>
          <cell r="E118">
            <v>5600000</v>
          </cell>
          <cell r="F118">
            <v>504000</v>
          </cell>
        </row>
        <row r="119">
          <cell r="B119" t="str">
            <v>TV342</v>
          </cell>
          <cell r="C119" t="str">
            <v>Trần Chí Hiếu</v>
          </cell>
          <cell r="D119" t="str">
            <v>2/O</v>
          </cell>
          <cell r="E119">
            <v>7000000</v>
          </cell>
          <cell r="F119">
            <v>1925000</v>
          </cell>
        </row>
        <row r="120">
          <cell r="B120"/>
          <cell r="C120" t="str">
            <v>Tổng cộng</v>
          </cell>
          <cell r="D120"/>
          <cell r="E120">
            <v>125900000</v>
          </cell>
          <cell r="F120">
            <v>12626000</v>
          </cell>
        </row>
        <row r="121">
          <cell r="B121" t="str">
            <v>Tmas</v>
          </cell>
          <cell r="C121"/>
          <cell r="D121"/>
          <cell r="E121"/>
          <cell r="F121"/>
        </row>
        <row r="122">
          <cell r="B122">
            <v>2860</v>
          </cell>
          <cell r="C122" t="str">
            <v>Nguyễn Vũ Thái</v>
          </cell>
          <cell r="D122" t="str">
            <v>Elect.</v>
          </cell>
          <cell r="E122">
            <v>5600000</v>
          </cell>
          <cell r="F122">
            <v>588000</v>
          </cell>
        </row>
        <row r="123">
          <cell r="B123">
            <v>2648</v>
          </cell>
          <cell r="C123" t="str">
            <v>Phạm Ngọc Tuyền</v>
          </cell>
          <cell r="D123" t="str">
            <v>M/M</v>
          </cell>
          <cell r="E123">
            <v>5600000</v>
          </cell>
          <cell r="F123">
            <v>588000</v>
          </cell>
        </row>
        <row r="124">
          <cell r="B124">
            <v>2423</v>
          </cell>
          <cell r="C124" t="str">
            <v>Bùi Song Hải</v>
          </cell>
          <cell r="D124" t="str">
            <v>2/O</v>
          </cell>
          <cell r="E124">
            <v>5600000</v>
          </cell>
          <cell r="F124">
            <v>588000</v>
          </cell>
        </row>
        <row r="125">
          <cell r="B125">
            <v>2485</v>
          </cell>
          <cell r="C125" t="str">
            <v>Nguyễn Sỹ Dũng</v>
          </cell>
          <cell r="D125" t="str">
            <v>AB</v>
          </cell>
          <cell r="E125">
            <v>5600000</v>
          </cell>
          <cell r="F125">
            <v>588000</v>
          </cell>
        </row>
        <row r="126">
          <cell r="B126">
            <v>2921</v>
          </cell>
          <cell r="C126" t="str">
            <v>Trần Văn Hiệp</v>
          </cell>
          <cell r="D126" t="str">
            <v>AB</v>
          </cell>
          <cell r="E126">
            <v>5600000</v>
          </cell>
          <cell r="F126">
            <v>588000</v>
          </cell>
        </row>
        <row r="127">
          <cell r="B127">
            <v>1917</v>
          </cell>
          <cell r="C127" t="str">
            <v>Bùi Văn Mạnh</v>
          </cell>
          <cell r="D127" t="str">
            <v>3/E</v>
          </cell>
          <cell r="E127">
            <v>5600000</v>
          </cell>
          <cell r="F127">
            <v>588000</v>
          </cell>
        </row>
        <row r="128">
          <cell r="B128"/>
          <cell r="C128" t="str">
            <v>Cộng</v>
          </cell>
          <cell r="D128"/>
          <cell r="E128">
            <v>33600000</v>
          </cell>
          <cell r="F128">
            <v>3528000</v>
          </cell>
        </row>
        <row r="129">
          <cell r="B129" t="str">
            <v>Inlaco Haiphong</v>
          </cell>
          <cell r="C129"/>
          <cell r="D129"/>
          <cell r="E129"/>
          <cell r="F129"/>
        </row>
        <row r="130">
          <cell r="B130">
            <v>2832</v>
          </cell>
          <cell r="C130" t="str">
            <v>Nguyễn Văn Thuận</v>
          </cell>
          <cell r="D130" t="str">
            <v>No.1</v>
          </cell>
          <cell r="E130">
            <v>5600000</v>
          </cell>
          <cell r="F130">
            <v>588000</v>
          </cell>
        </row>
        <row r="131">
          <cell r="B131">
            <v>2997</v>
          </cell>
          <cell r="C131" t="str">
            <v>Phạm Quang Đạt</v>
          </cell>
          <cell r="D131" t="str">
            <v>No.1</v>
          </cell>
          <cell r="E131">
            <v>5600000</v>
          </cell>
          <cell r="F131">
            <v>588000</v>
          </cell>
        </row>
        <row r="132">
          <cell r="B132"/>
          <cell r="C132" t="str">
            <v>Cộng</v>
          </cell>
          <cell r="D132"/>
          <cell r="E132">
            <v>11200000</v>
          </cell>
          <cell r="F132">
            <v>1176000</v>
          </cell>
        </row>
        <row r="133">
          <cell r="B133" t="str">
            <v>VOSCO</v>
          </cell>
          <cell r="C133"/>
          <cell r="D133"/>
          <cell r="E133"/>
          <cell r="F133"/>
        </row>
        <row r="134">
          <cell r="B134">
            <v>1056</v>
          </cell>
          <cell r="C134" t="str">
            <v>Nguyễn Văn Mạnh</v>
          </cell>
          <cell r="D134" t="str">
            <v>C/O</v>
          </cell>
          <cell r="E134">
            <v>5600000</v>
          </cell>
          <cell r="F134">
            <v>588000</v>
          </cell>
        </row>
        <row r="135">
          <cell r="B135"/>
          <cell r="C135" t="str">
            <v>Cộng</v>
          </cell>
          <cell r="D135"/>
          <cell r="E135">
            <v>5600000</v>
          </cell>
          <cell r="F135">
            <v>588000</v>
          </cell>
        </row>
        <row r="136">
          <cell r="B136" t="str">
            <v>PMM</v>
          </cell>
          <cell r="C136"/>
          <cell r="D136"/>
          <cell r="E136"/>
          <cell r="F136"/>
        </row>
        <row r="137">
          <cell r="B137">
            <v>961</v>
          </cell>
          <cell r="C137" t="str">
            <v>Phạm Nghĩa Công</v>
          </cell>
          <cell r="D137" t="str">
            <v>Capt.</v>
          </cell>
          <cell r="E137">
            <v>5600000</v>
          </cell>
          <cell r="F137">
            <v>588000</v>
          </cell>
        </row>
        <row r="138">
          <cell r="B138">
            <v>2992</v>
          </cell>
          <cell r="C138" t="str">
            <v>Bùi Văn Khích</v>
          </cell>
          <cell r="D138" t="str">
            <v>3/E</v>
          </cell>
          <cell r="E138">
            <v>5600000</v>
          </cell>
          <cell r="F138">
            <v>588000</v>
          </cell>
        </row>
        <row r="139">
          <cell r="B139">
            <v>2752</v>
          </cell>
          <cell r="C139" t="str">
            <v>Nguyễn Quốc Bảo</v>
          </cell>
          <cell r="D139" t="str">
            <v>AB</v>
          </cell>
          <cell r="E139">
            <v>5600000</v>
          </cell>
          <cell r="F139">
            <v>588000</v>
          </cell>
        </row>
        <row r="140">
          <cell r="B140"/>
          <cell r="C140" t="str">
            <v>Cộng</v>
          </cell>
          <cell r="D140"/>
          <cell r="E140">
            <v>16800000</v>
          </cell>
          <cell r="F140">
            <v>1764000</v>
          </cell>
        </row>
        <row r="141">
          <cell r="B141"/>
          <cell r="C141" t="str">
            <v>Tổng cộng</v>
          </cell>
          <cell r="D141"/>
          <cell r="E141">
            <v>724500000</v>
          </cell>
          <cell r="F141">
            <v>72863000</v>
          </cell>
        </row>
        <row r="142">
          <cell r="B142"/>
          <cell r="C142"/>
          <cell r="D142"/>
          <cell r="E142"/>
          <cell r="F142"/>
        </row>
        <row r="143">
          <cell r="B143" t="str">
            <v>Người lập                          P.Trưởng phòng TVTH                          Trưởng phòng TCTL</v>
          </cell>
          <cell r="C143"/>
          <cell r="D143"/>
          <cell r="E143"/>
          <cell r="F143"/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UH"/>
      <sheetName val="T01"/>
    </sheetNames>
    <sheetDataSet>
      <sheetData sheetId="0">
        <row r="7">
          <cell r="B7">
            <v>2926</v>
          </cell>
        </row>
      </sheetData>
      <sheetData sheetId="1">
        <row r="7">
          <cell r="B7">
            <v>2926</v>
          </cell>
        </row>
      </sheetData>
      <sheetData sheetId="2">
        <row r="7">
          <cell r="B7">
            <v>2926</v>
          </cell>
        </row>
      </sheetData>
      <sheetData sheetId="3">
        <row r="7">
          <cell r="B7">
            <v>2926</v>
          </cell>
        </row>
      </sheetData>
      <sheetData sheetId="4">
        <row r="7">
          <cell r="B7">
            <v>2926</v>
          </cell>
        </row>
      </sheetData>
      <sheetData sheetId="5">
        <row r="7">
          <cell r="B7">
            <v>2114</v>
          </cell>
        </row>
      </sheetData>
      <sheetData sheetId="6">
        <row r="7">
          <cell r="B7">
            <v>2114</v>
          </cell>
        </row>
      </sheetData>
      <sheetData sheetId="7">
        <row r="7">
          <cell r="B7">
            <v>2114</v>
          </cell>
        </row>
      </sheetData>
      <sheetData sheetId="8">
        <row r="7">
          <cell r="B7">
            <v>2114</v>
          </cell>
        </row>
      </sheetData>
      <sheetData sheetId="9">
        <row r="7">
          <cell r="B7">
            <v>2114</v>
          </cell>
        </row>
      </sheetData>
      <sheetData sheetId="10">
        <row r="7">
          <cell r="B7">
            <v>2114</v>
          </cell>
          <cell r="C7" t="str">
            <v>Vũ Hồng Quyết</v>
          </cell>
          <cell r="D7" t="str">
            <v>Capt.</v>
          </cell>
          <cell r="E7">
            <v>11500000</v>
          </cell>
          <cell r="F7">
            <v>57500</v>
          </cell>
        </row>
        <row r="8">
          <cell r="B8">
            <v>1613</v>
          </cell>
          <cell r="C8" t="str">
            <v>Đào Ngọc Dưỡng</v>
          </cell>
          <cell r="D8" t="str">
            <v>C/O</v>
          </cell>
          <cell r="E8">
            <v>8500000</v>
          </cell>
          <cell r="F8">
            <v>42500</v>
          </cell>
        </row>
        <row r="9">
          <cell r="B9">
            <v>1449</v>
          </cell>
          <cell r="C9" t="str">
            <v>Lê Văn Cường</v>
          </cell>
          <cell r="D9" t="str">
            <v>2/O</v>
          </cell>
          <cell r="E9">
            <v>7500000</v>
          </cell>
          <cell r="F9">
            <v>37500</v>
          </cell>
        </row>
        <row r="10">
          <cell r="B10">
            <v>2252</v>
          </cell>
          <cell r="C10" t="str">
            <v xml:space="preserve"> Dương Đình Hoàng</v>
          </cell>
          <cell r="D10" t="str">
            <v>3/O</v>
          </cell>
          <cell r="E10">
            <v>7000000</v>
          </cell>
          <cell r="F10">
            <v>35000</v>
          </cell>
        </row>
        <row r="11">
          <cell r="B11">
            <v>2973</v>
          </cell>
          <cell r="C11" t="str">
            <v>Võ Trọng Nhàn</v>
          </cell>
          <cell r="D11" t="str">
            <v>C/E</v>
          </cell>
          <cell r="E11">
            <v>11000000</v>
          </cell>
          <cell r="F11">
            <v>55000</v>
          </cell>
        </row>
        <row r="12">
          <cell r="B12">
            <v>1572</v>
          </cell>
          <cell r="C12" t="str">
            <v>Nguyễn Văn Trung</v>
          </cell>
          <cell r="D12" t="str">
            <v>1/E</v>
          </cell>
          <cell r="E12">
            <v>8500000</v>
          </cell>
          <cell r="F12">
            <v>42500</v>
          </cell>
        </row>
        <row r="13">
          <cell r="B13">
            <v>1699</v>
          </cell>
          <cell r="C13" t="str">
            <v>Nguyễn Văn Tuấn</v>
          </cell>
          <cell r="D13" t="str">
            <v>2/E</v>
          </cell>
          <cell r="E13">
            <v>7500000</v>
          </cell>
          <cell r="F13">
            <v>37500</v>
          </cell>
        </row>
        <row r="14">
          <cell r="B14">
            <v>1512</v>
          </cell>
          <cell r="C14" t="str">
            <v>Đặng Đức Nhuận</v>
          </cell>
          <cell r="D14" t="str">
            <v>BSN</v>
          </cell>
          <cell r="E14">
            <v>6000000</v>
          </cell>
          <cell r="F14">
            <v>30000</v>
          </cell>
        </row>
        <row r="15">
          <cell r="B15">
            <v>2757</v>
          </cell>
          <cell r="C15" t="str">
            <v>Nguyễn Đức Toàn</v>
          </cell>
          <cell r="D15" t="str">
            <v>AB</v>
          </cell>
          <cell r="E15">
            <v>5600000</v>
          </cell>
          <cell r="F15">
            <v>28000</v>
          </cell>
        </row>
        <row r="16">
          <cell r="B16">
            <v>2963</v>
          </cell>
          <cell r="C16" t="str">
            <v>Nguyễn Văn Sỹ</v>
          </cell>
          <cell r="D16" t="str">
            <v>AB</v>
          </cell>
          <cell r="E16">
            <v>5600000</v>
          </cell>
          <cell r="F16">
            <v>28000</v>
          </cell>
        </row>
        <row r="17">
          <cell r="B17">
            <v>2904</v>
          </cell>
          <cell r="C17" t="str">
            <v>Hoàng Văn Hiệp</v>
          </cell>
          <cell r="D17" t="str">
            <v>AB</v>
          </cell>
          <cell r="E17">
            <v>5600000</v>
          </cell>
          <cell r="F17">
            <v>28000</v>
          </cell>
        </row>
        <row r="18">
          <cell r="B18">
            <v>3032</v>
          </cell>
          <cell r="C18" t="str">
            <v>Trần Văn Đạt</v>
          </cell>
          <cell r="D18" t="str">
            <v>OS</v>
          </cell>
          <cell r="E18">
            <v>5600000</v>
          </cell>
          <cell r="F18">
            <v>28000</v>
          </cell>
        </row>
        <row r="19">
          <cell r="B19">
            <v>2987</v>
          </cell>
          <cell r="C19" t="str">
            <v>Nguyễn Trường Thắng</v>
          </cell>
          <cell r="D19" t="str">
            <v>OS</v>
          </cell>
          <cell r="E19">
            <v>5600000</v>
          </cell>
          <cell r="F19">
            <v>28000</v>
          </cell>
        </row>
        <row r="20">
          <cell r="B20">
            <v>2852</v>
          </cell>
          <cell r="C20" t="str">
            <v>Nguyễn Đức An</v>
          </cell>
          <cell r="D20" t="str">
            <v>No.1</v>
          </cell>
          <cell r="E20">
            <v>6000000</v>
          </cell>
          <cell r="F20">
            <v>30000</v>
          </cell>
        </row>
        <row r="21">
          <cell r="B21">
            <v>2877</v>
          </cell>
          <cell r="C21" t="str">
            <v>Trương Văn Điệp</v>
          </cell>
          <cell r="D21" t="str">
            <v>OLR</v>
          </cell>
          <cell r="E21">
            <v>5600000</v>
          </cell>
          <cell r="F21">
            <v>28000</v>
          </cell>
        </row>
        <row r="22">
          <cell r="B22">
            <v>2796</v>
          </cell>
          <cell r="C22" t="str">
            <v>Cao Xuân Ánh</v>
          </cell>
          <cell r="D22" t="str">
            <v>OLR</v>
          </cell>
          <cell r="E22">
            <v>5600000</v>
          </cell>
          <cell r="F22">
            <v>28000</v>
          </cell>
        </row>
        <row r="23">
          <cell r="B23">
            <v>2813</v>
          </cell>
          <cell r="C23" t="str">
            <v>Hoàng Mạnh Cường</v>
          </cell>
          <cell r="D23" t="str">
            <v>OLR</v>
          </cell>
          <cell r="E23">
            <v>5600000</v>
          </cell>
          <cell r="F23">
            <v>28000</v>
          </cell>
        </row>
        <row r="24">
          <cell r="B24">
            <v>1756</v>
          </cell>
          <cell r="C24" t="str">
            <v>Võ Hoàng Khanh</v>
          </cell>
          <cell r="D24" t="str">
            <v>C/C</v>
          </cell>
          <cell r="E24">
            <v>6000000</v>
          </cell>
          <cell r="F24">
            <v>30000</v>
          </cell>
        </row>
        <row r="25">
          <cell r="B25">
            <v>3047</v>
          </cell>
          <cell r="C25" t="str">
            <v>Vũ Văn Tuyền</v>
          </cell>
          <cell r="D25" t="str">
            <v>M/M</v>
          </cell>
          <cell r="E25">
            <v>5600000</v>
          </cell>
          <cell r="F25">
            <v>28000</v>
          </cell>
        </row>
        <row r="26">
          <cell r="B26">
            <v>3036</v>
          </cell>
          <cell r="C26" t="str">
            <v>Trần Quốc Anh</v>
          </cell>
          <cell r="D26" t="str">
            <v>A.OS</v>
          </cell>
          <cell r="E26">
            <v>5600000</v>
          </cell>
          <cell r="F26">
            <v>28000</v>
          </cell>
        </row>
        <row r="27">
          <cell r="B27"/>
          <cell r="C27" t="str">
            <v>Cộng</v>
          </cell>
          <cell r="D27"/>
          <cell r="E27">
            <v>135500000</v>
          </cell>
          <cell r="F27">
            <v>677500</v>
          </cell>
        </row>
        <row r="28">
          <cell r="B28" t="str">
            <v>Tàu Inlaco Harmony</v>
          </cell>
          <cell r="C28"/>
          <cell r="D28"/>
          <cell r="E28"/>
          <cell r="F28"/>
        </row>
        <row r="29">
          <cell r="B29">
            <v>1003</v>
          </cell>
          <cell r="C29" t="str">
            <v>Đặng Văn Thiệp</v>
          </cell>
          <cell r="D29" t="str">
            <v>Capt.</v>
          </cell>
          <cell r="E29">
            <v>11500000</v>
          </cell>
          <cell r="F29">
            <v>57500</v>
          </cell>
        </row>
        <row r="30">
          <cell r="B30">
            <v>1857</v>
          </cell>
          <cell r="C30" t="str">
            <v>Lê Công Sơn</v>
          </cell>
          <cell r="D30" t="str">
            <v>C/O</v>
          </cell>
          <cell r="E30">
            <v>8500000</v>
          </cell>
          <cell r="F30">
            <v>42500</v>
          </cell>
        </row>
        <row r="31">
          <cell r="B31">
            <v>2790</v>
          </cell>
          <cell r="C31" t="str">
            <v>Bùi Mạnh Tùng</v>
          </cell>
          <cell r="D31" t="str">
            <v>2/O</v>
          </cell>
          <cell r="E31">
            <v>7500000</v>
          </cell>
          <cell r="F31">
            <v>37500</v>
          </cell>
        </row>
        <row r="32">
          <cell r="B32">
            <v>3006</v>
          </cell>
          <cell r="C32" t="str">
            <v>Thái Văn Dương</v>
          </cell>
          <cell r="D32" t="str">
            <v>3/O</v>
          </cell>
          <cell r="E32">
            <v>7000000</v>
          </cell>
          <cell r="F32">
            <v>35000</v>
          </cell>
        </row>
        <row r="33">
          <cell r="B33">
            <v>744</v>
          </cell>
          <cell r="C33" t="str">
            <v>Phạm Phương Nam</v>
          </cell>
          <cell r="D33" t="str">
            <v>C/E</v>
          </cell>
          <cell r="E33">
            <v>11000000</v>
          </cell>
          <cell r="F33">
            <v>55000</v>
          </cell>
        </row>
        <row r="34">
          <cell r="B34">
            <v>1565</v>
          </cell>
          <cell r="C34" t="str">
            <v>Trần Hồng Tự</v>
          </cell>
          <cell r="D34" t="str">
            <v>1/E</v>
          </cell>
          <cell r="E34">
            <v>8500000</v>
          </cell>
          <cell r="F34">
            <v>42500</v>
          </cell>
        </row>
        <row r="35">
          <cell r="B35">
            <v>2920</v>
          </cell>
          <cell r="C35" t="str">
            <v>Châu anh Tú</v>
          </cell>
          <cell r="D35" t="str">
            <v>2/E</v>
          </cell>
          <cell r="E35">
            <v>7500000</v>
          </cell>
          <cell r="F35">
            <v>37500</v>
          </cell>
        </row>
        <row r="36">
          <cell r="B36">
            <v>2690</v>
          </cell>
          <cell r="C36" t="str">
            <v>Bùi Hoàng Phú</v>
          </cell>
          <cell r="D36" t="str">
            <v>3/E</v>
          </cell>
          <cell r="E36">
            <v>7000000</v>
          </cell>
          <cell r="F36">
            <v>35000</v>
          </cell>
        </row>
        <row r="37">
          <cell r="B37">
            <v>1440</v>
          </cell>
          <cell r="C37" t="str">
            <v>Vũ Văn Bắc</v>
          </cell>
          <cell r="D37" t="str">
            <v>BSN</v>
          </cell>
          <cell r="E37">
            <v>6000000</v>
          </cell>
          <cell r="F37">
            <v>30000</v>
          </cell>
        </row>
        <row r="38">
          <cell r="B38">
            <v>2782</v>
          </cell>
          <cell r="C38" t="str">
            <v>Phạm Xuân Trường</v>
          </cell>
          <cell r="D38" t="str">
            <v>AB</v>
          </cell>
          <cell r="E38">
            <v>5600000</v>
          </cell>
          <cell r="F38">
            <v>28000</v>
          </cell>
        </row>
        <row r="39">
          <cell r="B39">
            <v>2872</v>
          </cell>
          <cell r="C39" t="str">
            <v>Lê Văn Nghĩa</v>
          </cell>
          <cell r="D39" t="str">
            <v>AB</v>
          </cell>
          <cell r="E39">
            <v>5600000</v>
          </cell>
          <cell r="F39">
            <v>28000</v>
          </cell>
        </row>
        <row r="40">
          <cell r="B40">
            <v>1853</v>
          </cell>
          <cell r="C40" t="str">
            <v>Nguyễn Hồng Sơn</v>
          </cell>
          <cell r="D40" t="str">
            <v>AB</v>
          </cell>
          <cell r="E40">
            <v>5600000</v>
          </cell>
          <cell r="F40">
            <v>28000</v>
          </cell>
        </row>
        <row r="41">
          <cell r="B41">
            <v>3041</v>
          </cell>
          <cell r="C41" t="str">
            <v>Nguyễn Quang Dũng</v>
          </cell>
          <cell r="D41" t="str">
            <v>OS</v>
          </cell>
          <cell r="E41">
            <v>5600000</v>
          </cell>
          <cell r="F41">
            <v>28000</v>
          </cell>
        </row>
        <row r="42">
          <cell r="B42">
            <v>2538</v>
          </cell>
          <cell r="C42" t="str">
            <v>Lê Hồng Sơn</v>
          </cell>
          <cell r="D42" t="str">
            <v>OS</v>
          </cell>
          <cell r="E42">
            <v>5600000</v>
          </cell>
          <cell r="F42">
            <v>28000</v>
          </cell>
        </row>
        <row r="43">
          <cell r="B43">
            <v>1375</v>
          </cell>
          <cell r="C43" t="str">
            <v>Nguyễn Đức Điển</v>
          </cell>
          <cell r="D43" t="str">
            <v>No.1</v>
          </cell>
          <cell r="E43">
            <v>6000000</v>
          </cell>
          <cell r="F43">
            <v>30000</v>
          </cell>
        </row>
        <row r="44">
          <cell r="B44">
            <v>2547</v>
          </cell>
          <cell r="C44" t="str">
            <v>Nguyễn Văn Khanh</v>
          </cell>
          <cell r="D44" t="str">
            <v>OLR</v>
          </cell>
          <cell r="E44">
            <v>5600000</v>
          </cell>
          <cell r="F44">
            <v>28000</v>
          </cell>
        </row>
        <row r="45">
          <cell r="B45">
            <v>2706</v>
          </cell>
          <cell r="C45" t="str">
            <v>Trần Ngọc Khải</v>
          </cell>
          <cell r="D45" t="str">
            <v>OLR</v>
          </cell>
          <cell r="E45">
            <v>5600000</v>
          </cell>
          <cell r="F45">
            <v>28000</v>
          </cell>
        </row>
        <row r="46">
          <cell r="B46">
            <v>2760</v>
          </cell>
          <cell r="C46" t="str">
            <v>Phạm Hoàng Hải</v>
          </cell>
          <cell r="D46" t="str">
            <v>OLR</v>
          </cell>
          <cell r="E46">
            <v>5600000</v>
          </cell>
          <cell r="F46">
            <v>28000</v>
          </cell>
        </row>
        <row r="47">
          <cell r="B47">
            <v>2095</v>
          </cell>
          <cell r="C47" t="str">
            <v>Trần Minh Thanh</v>
          </cell>
          <cell r="D47" t="str">
            <v>C/C</v>
          </cell>
          <cell r="E47">
            <v>6000000</v>
          </cell>
          <cell r="F47">
            <v>30000</v>
          </cell>
        </row>
        <row r="48">
          <cell r="B48">
            <v>2457</v>
          </cell>
          <cell r="C48" t="str">
            <v>Trịnh Thế hùng</v>
          </cell>
          <cell r="D48" t="str">
            <v>M/M</v>
          </cell>
          <cell r="E48">
            <v>5600000</v>
          </cell>
          <cell r="F48">
            <v>28000</v>
          </cell>
        </row>
        <row r="49">
          <cell r="B49"/>
          <cell r="C49" t="str">
            <v>Cộng</v>
          </cell>
          <cell r="D49"/>
          <cell r="E49">
            <v>136900000</v>
          </cell>
          <cell r="F49">
            <v>684500</v>
          </cell>
        </row>
        <row r="50">
          <cell r="B50" t="str">
            <v>Tàu Inlaco Express</v>
          </cell>
          <cell r="C50"/>
          <cell r="D50"/>
          <cell r="E50"/>
          <cell r="F50"/>
        </row>
        <row r="51">
          <cell r="B51">
            <v>748</v>
          </cell>
          <cell r="C51" t="str">
            <v>Thành Anh Duy</v>
          </cell>
          <cell r="D51" t="str">
            <v>Capt.</v>
          </cell>
          <cell r="E51">
            <v>11500000</v>
          </cell>
          <cell r="F51">
            <v>57500</v>
          </cell>
        </row>
        <row r="52">
          <cell r="B52">
            <v>2135</v>
          </cell>
          <cell r="C52" t="str">
            <v>Vũ Tuấn Anh</v>
          </cell>
          <cell r="D52" t="str">
            <v>C/O</v>
          </cell>
          <cell r="E52">
            <v>8500000</v>
          </cell>
          <cell r="F52">
            <v>42500</v>
          </cell>
        </row>
        <row r="53">
          <cell r="B53">
            <v>1471</v>
          </cell>
          <cell r="C53" t="str">
            <v>Nguyễn Đình Hương</v>
          </cell>
          <cell r="D53" t="str">
            <v>2/O</v>
          </cell>
          <cell r="E53">
            <v>7500000</v>
          </cell>
          <cell r="F53">
            <v>37500</v>
          </cell>
        </row>
        <row r="54">
          <cell r="B54">
            <v>2918</v>
          </cell>
          <cell r="C54" t="str">
            <v xml:space="preserve"> Dương Công Song</v>
          </cell>
          <cell r="D54" t="str">
            <v>3/O</v>
          </cell>
          <cell r="E54">
            <v>7000000</v>
          </cell>
          <cell r="F54">
            <v>35000</v>
          </cell>
        </row>
        <row r="55">
          <cell r="B55">
            <v>1364</v>
          </cell>
          <cell r="C55" t="str">
            <v>Trần Đức Thành</v>
          </cell>
          <cell r="D55" t="str">
            <v>C/E</v>
          </cell>
          <cell r="E55">
            <v>11000000</v>
          </cell>
          <cell r="F55">
            <v>55000</v>
          </cell>
        </row>
        <row r="56">
          <cell r="B56">
            <v>2285</v>
          </cell>
          <cell r="C56" t="str">
            <v>Đỗ Xuân Khang</v>
          </cell>
          <cell r="D56" t="str">
            <v>1/E</v>
          </cell>
          <cell r="E56">
            <v>8500000</v>
          </cell>
          <cell r="F56">
            <v>42500</v>
          </cell>
        </row>
        <row r="57">
          <cell r="B57">
            <v>2249</v>
          </cell>
          <cell r="C57" t="str">
            <v>Ngô Văn Quyền</v>
          </cell>
          <cell r="D57" t="str">
            <v>2/E</v>
          </cell>
          <cell r="E57">
            <v>7500000</v>
          </cell>
          <cell r="F57">
            <v>37500</v>
          </cell>
        </row>
        <row r="58">
          <cell r="B58">
            <v>2701</v>
          </cell>
          <cell r="C58" t="str">
            <v>Trần Văn Kiên</v>
          </cell>
          <cell r="D58" t="str">
            <v>3/E</v>
          </cell>
          <cell r="E58">
            <v>7000000</v>
          </cell>
          <cell r="F58">
            <v>35000</v>
          </cell>
        </row>
        <row r="59">
          <cell r="B59">
            <v>2817</v>
          </cell>
          <cell r="C59" t="str">
            <v>Mai Huy Du</v>
          </cell>
          <cell r="D59" t="str">
            <v>BSN</v>
          </cell>
          <cell r="E59">
            <v>6000000</v>
          </cell>
          <cell r="F59">
            <v>30000</v>
          </cell>
        </row>
        <row r="60">
          <cell r="B60">
            <v>2602</v>
          </cell>
          <cell r="C60" t="str">
            <v>Nguyễn Viết Quang</v>
          </cell>
          <cell r="D60" t="str">
            <v>AB</v>
          </cell>
          <cell r="E60">
            <v>5600000</v>
          </cell>
          <cell r="F60">
            <v>28000</v>
          </cell>
        </row>
        <row r="61">
          <cell r="B61">
            <v>2859</v>
          </cell>
          <cell r="C61" t="str">
            <v>Trần Văn Thế</v>
          </cell>
          <cell r="D61" t="str">
            <v>AB</v>
          </cell>
          <cell r="E61">
            <v>5600000</v>
          </cell>
          <cell r="F61">
            <v>28000</v>
          </cell>
        </row>
        <row r="62">
          <cell r="B62">
            <v>2985</v>
          </cell>
          <cell r="C62" t="str">
            <v>Mai Thanh Hiếu</v>
          </cell>
          <cell r="D62" t="str">
            <v>AB</v>
          </cell>
          <cell r="E62">
            <v>5600000</v>
          </cell>
          <cell r="F62">
            <v>28000</v>
          </cell>
        </row>
        <row r="63">
          <cell r="B63">
            <v>2834</v>
          </cell>
          <cell r="C63" t="str">
            <v>Hồ Thân Minh</v>
          </cell>
          <cell r="D63" t="str">
            <v>OS</v>
          </cell>
          <cell r="E63">
            <v>5600000</v>
          </cell>
          <cell r="F63">
            <v>28000</v>
          </cell>
        </row>
        <row r="64">
          <cell r="B64">
            <v>3003</v>
          </cell>
          <cell r="C64" t="str">
            <v>Kiều Quốc Huy</v>
          </cell>
          <cell r="D64" t="str">
            <v>OS</v>
          </cell>
          <cell r="E64">
            <v>5600000</v>
          </cell>
          <cell r="F64">
            <v>28000</v>
          </cell>
        </row>
        <row r="65">
          <cell r="B65">
            <v>2789</v>
          </cell>
          <cell r="C65" t="str">
            <v>Nguyễn Văn Diễn</v>
          </cell>
          <cell r="D65" t="str">
            <v>No.1</v>
          </cell>
          <cell r="E65">
            <v>6000000</v>
          </cell>
          <cell r="F65">
            <v>30000</v>
          </cell>
        </row>
        <row r="66">
          <cell r="B66">
            <v>2827</v>
          </cell>
          <cell r="C66" t="str">
            <v>Lê Văn Trọng</v>
          </cell>
          <cell r="D66" t="str">
            <v>OLR</v>
          </cell>
          <cell r="E66">
            <v>5600000</v>
          </cell>
          <cell r="F66">
            <v>28000</v>
          </cell>
        </row>
        <row r="67">
          <cell r="B67">
            <v>2886</v>
          </cell>
          <cell r="C67" t="str">
            <v xml:space="preserve"> Dương Đình Trường</v>
          </cell>
          <cell r="D67" t="str">
            <v>OLR</v>
          </cell>
          <cell r="E67">
            <v>5600000</v>
          </cell>
          <cell r="F67">
            <v>28000</v>
          </cell>
        </row>
        <row r="68">
          <cell r="B68">
            <v>2912</v>
          </cell>
          <cell r="C68" t="str">
            <v>Lê Văn Giác</v>
          </cell>
          <cell r="D68" t="str">
            <v>OLR</v>
          </cell>
          <cell r="E68">
            <v>5600000</v>
          </cell>
          <cell r="F68">
            <v>28000</v>
          </cell>
        </row>
        <row r="69">
          <cell r="B69">
            <v>2929</v>
          </cell>
          <cell r="C69" t="str">
            <v>Nguyễn Văn Luật</v>
          </cell>
          <cell r="D69" t="str">
            <v>C/C</v>
          </cell>
          <cell r="E69">
            <v>6000000</v>
          </cell>
          <cell r="F69">
            <v>30000</v>
          </cell>
        </row>
        <row r="70">
          <cell r="B70">
            <v>3035</v>
          </cell>
          <cell r="C70" t="str">
            <v>Bùi Trung Hiếu</v>
          </cell>
          <cell r="D70" t="str">
            <v>M/M</v>
          </cell>
          <cell r="E70">
            <v>5600000</v>
          </cell>
          <cell r="F70">
            <v>28000</v>
          </cell>
        </row>
        <row r="71">
          <cell r="B71">
            <v>3029</v>
          </cell>
          <cell r="C71" t="str">
            <v>Lê Quốc Thảo</v>
          </cell>
          <cell r="D71" t="str">
            <v>Elect.</v>
          </cell>
          <cell r="E71">
            <v>5600000</v>
          </cell>
          <cell r="F71">
            <v>28000</v>
          </cell>
        </row>
        <row r="72">
          <cell r="B72"/>
          <cell r="C72" t="str">
            <v>Cộng</v>
          </cell>
          <cell r="D72"/>
          <cell r="E72">
            <v>142500000</v>
          </cell>
          <cell r="F72">
            <v>712500</v>
          </cell>
        </row>
        <row r="73">
          <cell r="B73" t="str">
            <v>Tàu Thanh Thủy</v>
          </cell>
          <cell r="C73"/>
          <cell r="D73"/>
          <cell r="E73"/>
          <cell r="F73"/>
        </row>
        <row r="74">
          <cell r="B74">
            <v>1300</v>
          </cell>
          <cell r="C74" t="str">
            <v>Lê Ngọc Lương</v>
          </cell>
          <cell r="D74" t="str">
            <v>Capt.</v>
          </cell>
          <cell r="E74">
            <v>9000000</v>
          </cell>
          <cell r="F74">
            <v>45000</v>
          </cell>
        </row>
        <row r="75">
          <cell r="B75">
            <v>1961</v>
          </cell>
          <cell r="C75" t="str">
            <v xml:space="preserve"> Dư Thành Giảo</v>
          </cell>
          <cell r="D75" t="str">
            <v>C/O</v>
          </cell>
          <cell r="E75">
            <v>7500000</v>
          </cell>
          <cell r="F75">
            <v>37500</v>
          </cell>
        </row>
        <row r="76">
          <cell r="B76">
            <v>1811</v>
          </cell>
          <cell r="C76" t="str">
            <v>Trần Nam Dân</v>
          </cell>
          <cell r="D76" t="str">
            <v>2/O</v>
          </cell>
          <cell r="E76">
            <v>7000000</v>
          </cell>
          <cell r="F76">
            <v>35000</v>
          </cell>
        </row>
        <row r="77">
          <cell r="B77">
            <v>2425</v>
          </cell>
          <cell r="C77" t="str">
            <v xml:space="preserve"> Dương Ngọc Khuê</v>
          </cell>
          <cell r="D77" t="str">
            <v>3/O</v>
          </cell>
          <cell r="E77">
            <v>6000000</v>
          </cell>
          <cell r="F77">
            <v>30000</v>
          </cell>
        </row>
        <row r="78">
          <cell r="B78">
            <v>1463</v>
          </cell>
          <cell r="C78" t="str">
            <v>Vũ Khắc Ấn</v>
          </cell>
          <cell r="D78" t="str">
            <v>C/E</v>
          </cell>
          <cell r="E78">
            <v>8700000</v>
          </cell>
          <cell r="F78">
            <v>43500</v>
          </cell>
        </row>
        <row r="79">
          <cell r="B79">
            <v>1889</v>
          </cell>
          <cell r="C79" t="str">
            <v>Trần Minh Phong</v>
          </cell>
          <cell r="D79" t="str">
            <v>1/E</v>
          </cell>
          <cell r="E79">
            <v>7500000</v>
          </cell>
          <cell r="F79">
            <v>37500</v>
          </cell>
        </row>
        <row r="80">
          <cell r="B80">
            <v>2408</v>
          </cell>
          <cell r="C80" t="str">
            <v>Trương Quốc Cường</v>
          </cell>
          <cell r="D80" t="str">
            <v>2/E</v>
          </cell>
          <cell r="E80">
            <v>7000000</v>
          </cell>
          <cell r="F80">
            <v>35000</v>
          </cell>
        </row>
        <row r="81">
          <cell r="B81">
            <v>2431</v>
          </cell>
          <cell r="C81" t="str">
            <v>Đào Văn Nam</v>
          </cell>
          <cell r="D81" t="str">
            <v>3/E</v>
          </cell>
          <cell r="E81">
            <v>6000000</v>
          </cell>
          <cell r="F81">
            <v>30000</v>
          </cell>
        </row>
        <row r="82">
          <cell r="B82" t="str">
            <v>T406</v>
          </cell>
          <cell r="C82" t="str">
            <v>Phạm Phú Khánh</v>
          </cell>
          <cell r="D82" t="str">
            <v>BSN</v>
          </cell>
          <cell r="E82">
            <v>5600000</v>
          </cell>
          <cell r="F82">
            <v>28000</v>
          </cell>
        </row>
        <row r="83">
          <cell r="B83">
            <v>2575</v>
          </cell>
          <cell r="C83" t="str">
            <v>Lê Ngọc Hồng Sơn</v>
          </cell>
          <cell r="D83" t="str">
            <v>AB</v>
          </cell>
          <cell r="E83">
            <v>5600000</v>
          </cell>
          <cell r="F83">
            <v>28000</v>
          </cell>
        </row>
        <row r="84">
          <cell r="B84">
            <v>2889</v>
          </cell>
          <cell r="C84" t="str">
            <v xml:space="preserve"> Dương Đình Huấn</v>
          </cell>
          <cell r="D84" t="str">
            <v>AB</v>
          </cell>
          <cell r="E84">
            <v>5600000</v>
          </cell>
          <cell r="F84">
            <v>28000</v>
          </cell>
        </row>
        <row r="85">
          <cell r="B85">
            <v>2755</v>
          </cell>
          <cell r="C85" t="str">
            <v>Nguyễn Tiến Thuật</v>
          </cell>
          <cell r="D85" t="str">
            <v>AB</v>
          </cell>
          <cell r="E85">
            <v>5600000</v>
          </cell>
          <cell r="F85">
            <v>28000</v>
          </cell>
        </row>
        <row r="86">
          <cell r="B86">
            <v>2896</v>
          </cell>
          <cell r="C86" t="str">
            <v>Nguyễn Đức Trà</v>
          </cell>
          <cell r="D86" t="str">
            <v>AB</v>
          </cell>
          <cell r="E86">
            <v>5600000</v>
          </cell>
          <cell r="F86">
            <v>28000</v>
          </cell>
        </row>
        <row r="87">
          <cell r="B87">
            <v>2868</v>
          </cell>
          <cell r="C87" t="str">
            <v>Vũ Văn Tiến</v>
          </cell>
          <cell r="D87" t="str">
            <v>OS</v>
          </cell>
          <cell r="E87">
            <v>5600000</v>
          </cell>
          <cell r="F87">
            <v>28000</v>
          </cell>
        </row>
        <row r="88">
          <cell r="B88">
            <v>2744</v>
          </cell>
          <cell r="C88" t="str">
            <v>Nguyễn Văn Mạnh</v>
          </cell>
          <cell r="D88" t="str">
            <v>No.1</v>
          </cell>
          <cell r="E88">
            <v>5600000</v>
          </cell>
          <cell r="F88">
            <v>28000</v>
          </cell>
        </row>
        <row r="89">
          <cell r="B89">
            <v>2881</v>
          </cell>
          <cell r="C89" t="str">
            <v>Vũ Quốc Việt</v>
          </cell>
          <cell r="D89" t="str">
            <v>OLR</v>
          </cell>
          <cell r="E89">
            <v>5600000</v>
          </cell>
          <cell r="F89">
            <v>28000</v>
          </cell>
        </row>
        <row r="90">
          <cell r="B90">
            <v>2864</v>
          </cell>
          <cell r="C90" t="str">
            <v>Phạm Việt Hùng</v>
          </cell>
          <cell r="D90" t="str">
            <v>OLR</v>
          </cell>
          <cell r="E90">
            <v>5600000</v>
          </cell>
          <cell r="F90">
            <v>28000</v>
          </cell>
        </row>
        <row r="91">
          <cell r="B91">
            <v>2882</v>
          </cell>
          <cell r="C91" t="str">
            <v>Nguyễn Hữu Sơn</v>
          </cell>
          <cell r="D91" t="str">
            <v>OLR</v>
          </cell>
          <cell r="E91">
            <v>5600000</v>
          </cell>
          <cell r="F91">
            <v>28000</v>
          </cell>
        </row>
        <row r="92">
          <cell r="B92">
            <v>2914</v>
          </cell>
          <cell r="C92" t="str">
            <v>Vi Văn Nhất</v>
          </cell>
          <cell r="D92" t="str">
            <v>OLR</v>
          </cell>
          <cell r="E92">
            <v>5600000</v>
          </cell>
          <cell r="F92">
            <v>28000</v>
          </cell>
        </row>
        <row r="93">
          <cell r="B93">
            <v>1407</v>
          </cell>
          <cell r="C93" t="str">
            <v>Trương Quang Vân</v>
          </cell>
          <cell r="D93" t="str">
            <v>C/C</v>
          </cell>
          <cell r="E93">
            <v>5600000</v>
          </cell>
          <cell r="F93">
            <v>28000</v>
          </cell>
        </row>
        <row r="94">
          <cell r="B94">
            <v>2880</v>
          </cell>
          <cell r="C94" t="str">
            <v>Phạm Văn Thắng</v>
          </cell>
          <cell r="D94" t="str">
            <v>M/M</v>
          </cell>
          <cell r="E94">
            <v>5600000</v>
          </cell>
          <cell r="F94">
            <v>28000</v>
          </cell>
        </row>
        <row r="95">
          <cell r="B95">
            <v>2158</v>
          </cell>
          <cell r="C95" t="str">
            <v>Bùi Anh Phúc</v>
          </cell>
          <cell r="D95" t="str">
            <v>A/3/E</v>
          </cell>
          <cell r="E95">
            <v>6000000</v>
          </cell>
          <cell r="F95">
            <v>30000</v>
          </cell>
        </row>
        <row r="96">
          <cell r="B96"/>
          <cell r="C96" t="str">
            <v>Cộng</v>
          </cell>
          <cell r="D96"/>
          <cell r="E96">
            <v>137500000</v>
          </cell>
          <cell r="F96">
            <v>687500</v>
          </cell>
        </row>
        <row r="97">
          <cell r="B97" t="str">
            <v>Tàu Aquamarine</v>
          </cell>
          <cell r="C97"/>
          <cell r="D97"/>
          <cell r="E97"/>
          <cell r="F97"/>
        </row>
        <row r="98">
          <cell r="B98">
            <v>2412</v>
          </cell>
          <cell r="C98" t="str">
            <v>Võ Xuân Vinh</v>
          </cell>
          <cell r="D98" t="str">
            <v>Capt.</v>
          </cell>
          <cell r="E98">
            <v>9000000</v>
          </cell>
          <cell r="F98">
            <v>45000</v>
          </cell>
        </row>
        <row r="99">
          <cell r="B99">
            <v>2354</v>
          </cell>
          <cell r="C99" t="str">
            <v>Lê Công Trịnh</v>
          </cell>
          <cell r="D99" t="str">
            <v>C/O</v>
          </cell>
          <cell r="E99">
            <v>7500000</v>
          </cell>
          <cell r="F99">
            <v>37500</v>
          </cell>
        </row>
        <row r="100">
          <cell r="B100">
            <v>2156</v>
          </cell>
          <cell r="C100" t="str">
            <v>Trần Văn Long</v>
          </cell>
          <cell r="D100" t="str">
            <v>3/O</v>
          </cell>
          <cell r="E100">
            <v>6000000</v>
          </cell>
          <cell r="F100">
            <v>30000</v>
          </cell>
        </row>
        <row r="101">
          <cell r="B101">
            <v>1253</v>
          </cell>
          <cell r="C101" t="str">
            <v>Nguyễn Quang Bạo</v>
          </cell>
          <cell r="D101" t="str">
            <v>C/E</v>
          </cell>
          <cell r="E101">
            <v>8700000</v>
          </cell>
          <cell r="F101">
            <v>43500</v>
          </cell>
        </row>
        <row r="102">
          <cell r="B102" t="str">
            <v>T170</v>
          </cell>
          <cell r="C102" t="str">
            <v>Đoàn Hữu Tuyên</v>
          </cell>
          <cell r="D102" t="str">
            <v>1/E</v>
          </cell>
          <cell r="E102">
            <v>7500000</v>
          </cell>
          <cell r="F102">
            <v>37500</v>
          </cell>
        </row>
        <row r="103">
          <cell r="B103">
            <v>2284</v>
          </cell>
          <cell r="C103" t="str">
            <v>Hoàng Văn Trường</v>
          </cell>
          <cell r="D103" t="str">
            <v>2/E</v>
          </cell>
          <cell r="E103">
            <v>7000000</v>
          </cell>
          <cell r="F103">
            <v>35000</v>
          </cell>
        </row>
        <row r="104">
          <cell r="B104">
            <v>2549</v>
          </cell>
          <cell r="C104" t="str">
            <v>Đặng Quang Toản</v>
          </cell>
          <cell r="D104" t="str">
            <v>3/E</v>
          </cell>
          <cell r="E104">
            <v>6000000</v>
          </cell>
          <cell r="F104">
            <v>30000</v>
          </cell>
        </row>
        <row r="105">
          <cell r="B105">
            <v>2581</v>
          </cell>
          <cell r="C105" t="str">
            <v>Nguyễn Quang Đức</v>
          </cell>
          <cell r="D105" t="str">
            <v>BSN</v>
          </cell>
          <cell r="E105">
            <v>5600000</v>
          </cell>
          <cell r="F105">
            <v>28000</v>
          </cell>
        </row>
        <row r="106">
          <cell r="B106">
            <v>2805</v>
          </cell>
          <cell r="C106" t="str">
            <v>Trần Trung Hiến</v>
          </cell>
          <cell r="D106" t="str">
            <v>AB</v>
          </cell>
          <cell r="E106">
            <v>5600000</v>
          </cell>
          <cell r="F106">
            <v>28000</v>
          </cell>
        </row>
        <row r="107">
          <cell r="B107">
            <v>2899</v>
          </cell>
          <cell r="C107" t="str">
            <v>Trần Quang Anh</v>
          </cell>
          <cell r="D107" t="str">
            <v>AB</v>
          </cell>
          <cell r="E107">
            <v>5600000</v>
          </cell>
          <cell r="F107">
            <v>28000</v>
          </cell>
        </row>
        <row r="108">
          <cell r="B108">
            <v>2931</v>
          </cell>
          <cell r="C108" t="str">
            <v>Phan Văn Bảo</v>
          </cell>
          <cell r="D108" t="str">
            <v>AB</v>
          </cell>
          <cell r="E108">
            <v>5600000</v>
          </cell>
          <cell r="F108">
            <v>28000</v>
          </cell>
        </row>
        <row r="109">
          <cell r="B109">
            <v>3031</v>
          </cell>
          <cell r="C109" t="str">
            <v>Vũ Trần Đình</v>
          </cell>
          <cell r="D109" t="str">
            <v>OS</v>
          </cell>
          <cell r="E109">
            <v>5600000</v>
          </cell>
          <cell r="F109">
            <v>28000</v>
          </cell>
        </row>
        <row r="110">
          <cell r="B110">
            <v>2991</v>
          </cell>
          <cell r="C110" t="str">
            <v>Vũ Thái Hoàng</v>
          </cell>
          <cell r="D110" t="str">
            <v>OS</v>
          </cell>
          <cell r="E110">
            <v>5600000</v>
          </cell>
          <cell r="F110">
            <v>28000</v>
          </cell>
        </row>
        <row r="111">
          <cell r="B111">
            <v>2815</v>
          </cell>
          <cell r="C111" t="str">
            <v>Nguyễn Trọng Hiếu</v>
          </cell>
          <cell r="D111" t="str">
            <v>No.1</v>
          </cell>
          <cell r="E111">
            <v>5600000</v>
          </cell>
          <cell r="F111">
            <v>28000</v>
          </cell>
        </row>
        <row r="112">
          <cell r="B112">
            <v>2465</v>
          </cell>
          <cell r="C112" t="str">
            <v>Phan Ngọc Trưởng</v>
          </cell>
          <cell r="D112" t="str">
            <v>OLR</v>
          </cell>
          <cell r="E112">
            <v>5600000</v>
          </cell>
          <cell r="F112">
            <v>28000</v>
          </cell>
        </row>
        <row r="113">
          <cell r="B113">
            <v>2964</v>
          </cell>
          <cell r="C113" t="str">
            <v>Bùi Ngọc Bình</v>
          </cell>
          <cell r="D113" t="str">
            <v>OLR</v>
          </cell>
          <cell r="E113">
            <v>5600000</v>
          </cell>
          <cell r="F113">
            <v>28000</v>
          </cell>
        </row>
        <row r="114">
          <cell r="B114">
            <v>2836</v>
          </cell>
          <cell r="C114" t="str">
            <v>Võ Văn Mão</v>
          </cell>
          <cell r="D114" t="str">
            <v>OLR</v>
          </cell>
          <cell r="E114">
            <v>5600000</v>
          </cell>
          <cell r="F114">
            <v>28000</v>
          </cell>
        </row>
        <row r="115">
          <cell r="B115">
            <v>1676</v>
          </cell>
          <cell r="C115" t="str">
            <v>Mai Văn Hạ</v>
          </cell>
          <cell r="D115" t="str">
            <v>C/C</v>
          </cell>
          <cell r="E115">
            <v>5600000</v>
          </cell>
          <cell r="F115">
            <v>28000</v>
          </cell>
        </row>
        <row r="116">
          <cell r="B116">
            <v>2933</v>
          </cell>
          <cell r="C116" t="str">
            <v>Nguyễn Văn Khanh</v>
          </cell>
          <cell r="D116" t="str">
            <v>M/M</v>
          </cell>
          <cell r="E116">
            <v>5600000</v>
          </cell>
          <cell r="F116">
            <v>28000</v>
          </cell>
        </row>
        <row r="117">
          <cell r="B117"/>
          <cell r="C117" t="str">
            <v>Cộng</v>
          </cell>
          <cell r="D117"/>
          <cell r="E117">
            <v>118900000</v>
          </cell>
          <cell r="F117">
            <v>594500</v>
          </cell>
        </row>
        <row r="118">
          <cell r="B118"/>
          <cell r="C118" t="str">
            <v>Tổng cộng</v>
          </cell>
          <cell r="D118"/>
          <cell r="E118">
            <v>671300000</v>
          </cell>
          <cell r="F118">
            <v>3356500</v>
          </cell>
        </row>
        <row r="119">
          <cell r="B119"/>
          <cell r="C119"/>
          <cell r="D119"/>
          <cell r="E119"/>
          <cell r="F119"/>
        </row>
        <row r="120">
          <cell r="B120" t="str">
            <v>Người lập                          P.Trưởng phòng TVTH                          Trưởng phòng TCTL</v>
          </cell>
          <cell r="C120"/>
          <cell r="D120"/>
          <cell r="E120"/>
          <cell r="F120"/>
        </row>
      </sheetData>
      <sheetData sheetId="11">
        <row r="7">
          <cell r="B7">
            <v>2114</v>
          </cell>
        </row>
      </sheetData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Y110"/>
  <sheetViews>
    <sheetView zoomScaleNormal="100" workbookViewId="0">
      <selection activeCell="T4" sqref="T4"/>
    </sheetView>
  </sheetViews>
  <sheetFormatPr defaultColWidth="9.109375" defaultRowHeight="13.8" x14ac:dyDescent="0.25"/>
  <cols>
    <col min="1" max="1" width="3.33203125" style="1" customWidth="1"/>
    <col min="2" max="2" width="5.5546875" style="1" customWidth="1"/>
    <col min="3" max="3" width="17.109375" style="1" customWidth="1"/>
    <col min="4" max="4" width="5.33203125" style="1" customWidth="1"/>
    <col min="5" max="5" width="8" style="15" customWidth="1"/>
    <col min="6" max="6" width="4.88671875" style="1" customWidth="1"/>
    <col min="7" max="7" width="10.88671875" style="1" hidden="1" customWidth="1"/>
    <col min="8" max="8" width="10.88671875" style="1" bestFit="1" customWidth="1"/>
    <col min="9" max="9" width="0.109375" style="1" hidden="1" customWidth="1"/>
    <col min="10" max="10" width="10.6640625" style="1" customWidth="1"/>
    <col min="11" max="11" width="1.6640625" style="1" hidden="1" customWidth="1"/>
    <col min="12" max="12" width="10.6640625" style="1" customWidth="1"/>
    <col min="13" max="14" width="10.88671875" style="1" hidden="1" customWidth="1"/>
    <col min="15" max="16" width="9.88671875" style="1" hidden="1" customWidth="1"/>
    <col min="17" max="17" width="11.44140625" style="1" customWidth="1"/>
    <col min="18" max="18" width="10.109375" style="1" customWidth="1"/>
    <col min="19" max="19" width="9.33203125" style="2" customWidth="1"/>
    <col min="20" max="20" width="9.6640625" style="2" customWidth="1"/>
    <col min="21" max="21" width="5.6640625" style="1" customWidth="1"/>
    <col min="22" max="22" width="11" style="1" customWidth="1"/>
    <col min="23" max="23" width="11.33203125" style="1" customWidth="1"/>
    <col min="24" max="24" width="20.33203125" style="1" bestFit="1" customWidth="1"/>
    <col min="25" max="25" width="10.33203125" style="1" bestFit="1" customWidth="1"/>
    <col min="26" max="26" width="9.88671875" style="1" bestFit="1" customWidth="1"/>
    <col min="27" max="16384" width="9.109375" style="1"/>
  </cols>
  <sheetData>
    <row r="1" spans="1:25" s="12" customFormat="1" ht="21" customHeight="1" x14ac:dyDescent="0.4">
      <c r="A1" s="167" t="s">
        <v>23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</row>
    <row r="2" spans="1:25" s="12" customFormat="1" ht="21" customHeight="1" x14ac:dyDescent="0.4">
      <c r="A2" s="167" t="s">
        <v>515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</row>
    <row r="3" spans="1:25" s="14" customFormat="1" ht="15.75" customHeight="1" x14ac:dyDescent="0.3">
      <c r="A3" s="11"/>
      <c r="B3" s="11"/>
      <c r="C3" s="13">
        <v>31</v>
      </c>
      <c r="E3" s="1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6"/>
      <c r="T3" s="17">
        <v>26158</v>
      </c>
      <c r="W3" s="18" t="s">
        <v>24</v>
      </c>
    </row>
    <row r="4" spans="1:25" s="24" customFormat="1" ht="15.75" customHeight="1" x14ac:dyDescent="0.25">
      <c r="A4" s="19" t="s">
        <v>0</v>
      </c>
      <c r="B4" s="19" t="s">
        <v>25</v>
      </c>
      <c r="C4" s="20" t="s">
        <v>26</v>
      </c>
      <c r="D4" s="20" t="s">
        <v>27</v>
      </c>
      <c r="E4" s="21" t="s">
        <v>28</v>
      </c>
      <c r="F4" s="19" t="s">
        <v>28</v>
      </c>
      <c r="G4" s="22"/>
      <c r="H4" s="19" t="s">
        <v>31</v>
      </c>
      <c r="I4" s="22"/>
      <c r="J4" s="19" t="s">
        <v>32</v>
      </c>
      <c r="K4" s="22"/>
      <c r="L4" s="19" t="s">
        <v>33</v>
      </c>
      <c r="M4" s="22"/>
      <c r="N4" s="19" t="s">
        <v>33</v>
      </c>
      <c r="O4" s="22"/>
      <c r="P4" s="19" t="s">
        <v>50</v>
      </c>
      <c r="Q4" s="19" t="s">
        <v>34</v>
      </c>
      <c r="R4" s="19" t="s">
        <v>19</v>
      </c>
      <c r="S4" s="23" t="s">
        <v>35</v>
      </c>
      <c r="T4" s="19" t="s">
        <v>36</v>
      </c>
      <c r="U4" s="19" t="s">
        <v>37</v>
      </c>
      <c r="V4" s="19" t="s">
        <v>51</v>
      </c>
      <c r="W4" s="20" t="s">
        <v>1</v>
      </c>
    </row>
    <row r="5" spans="1:25" s="24" customFormat="1" ht="15.75" customHeight="1" x14ac:dyDescent="0.25">
      <c r="A5" s="25"/>
      <c r="B5" s="25"/>
      <c r="C5" s="26"/>
      <c r="D5" s="27" t="s">
        <v>2</v>
      </c>
      <c r="E5" s="28" t="s">
        <v>29</v>
      </c>
      <c r="F5" s="25" t="s">
        <v>30</v>
      </c>
      <c r="G5" s="26"/>
      <c r="H5" s="25" t="s">
        <v>20</v>
      </c>
      <c r="J5" s="25" t="s">
        <v>38</v>
      </c>
      <c r="L5" s="25" t="s">
        <v>39</v>
      </c>
      <c r="M5" s="26"/>
      <c r="N5" s="25" t="s">
        <v>40</v>
      </c>
      <c r="O5" s="26"/>
      <c r="P5" s="25" t="s">
        <v>70</v>
      </c>
      <c r="Q5" s="25" t="s">
        <v>41</v>
      </c>
      <c r="R5" s="25"/>
      <c r="S5" s="29"/>
      <c r="T5" s="25" t="s">
        <v>42</v>
      </c>
      <c r="U5" s="25"/>
      <c r="V5" s="25" t="s">
        <v>43</v>
      </c>
      <c r="W5" s="27" t="s">
        <v>44</v>
      </c>
    </row>
    <row r="6" spans="1:25" s="37" customFormat="1" ht="16.5" customHeight="1" x14ac:dyDescent="0.25">
      <c r="A6" s="30">
        <v>1</v>
      </c>
      <c r="B6" s="31">
        <v>2114</v>
      </c>
      <c r="C6" s="32" t="s">
        <v>166</v>
      </c>
      <c r="D6" s="30" t="s">
        <v>3</v>
      </c>
      <c r="E6" s="33">
        <v>45821</v>
      </c>
      <c r="F6" s="30">
        <v>31</v>
      </c>
      <c r="G6" s="40">
        <v>24765000</v>
      </c>
      <c r="H6" s="30">
        <f t="shared" ref="H6:H26" si="0">ROUND(G6*F6/$C$3,0)</f>
        <v>24765000</v>
      </c>
      <c r="I6" s="30">
        <v>28194000</v>
      </c>
      <c r="J6" s="30">
        <f t="shared" ref="J6:J26" si="1">ROUND(I6*F6/$C$3,0)</f>
        <v>28194000</v>
      </c>
      <c r="K6" s="30">
        <v>15240000</v>
      </c>
      <c r="L6" s="30">
        <f t="shared" ref="L6:L26" si="2">ROUND(K6*F6/$C$3,0)</f>
        <v>15240000</v>
      </c>
      <c r="M6" s="40">
        <v>6921000</v>
      </c>
      <c r="N6" s="30">
        <f t="shared" ref="N6:N26" si="3">ROUND(M6*F6/$C$3,0)</f>
        <v>6921000</v>
      </c>
      <c r="O6" s="40">
        <v>14000000</v>
      </c>
      <c r="P6" s="30">
        <f t="shared" ref="P6" si="4">ROUND(O6*F6/$C$3,0)</f>
        <v>14000000</v>
      </c>
      <c r="Q6" s="30">
        <f t="shared" ref="Q6:Q26" si="5">ROUND(H6+J6+L6+N6+P6,0)</f>
        <v>89120000</v>
      </c>
      <c r="R6" s="30">
        <f>VLOOKUP(B6,'[1]Đi tàu'!$B$7:$F$119,5,FALSE)</f>
        <v>1080000</v>
      </c>
      <c r="S6" s="34">
        <f>VLOOKUP(B6,[2]T3!$B$7:$F$116,5,FALSE)</f>
        <v>60000</v>
      </c>
      <c r="T6" s="30">
        <f>ROUND(200*$T$3,0)</f>
        <v>5231600</v>
      </c>
      <c r="U6" s="34"/>
      <c r="V6" s="30">
        <f t="shared" ref="V6:V26" si="6">ROUND(Q6-R6-S6-T6-U6,0)</f>
        <v>82748400</v>
      </c>
      <c r="W6" s="99"/>
      <c r="X6" s="35"/>
      <c r="Y6" s="36"/>
    </row>
    <row r="7" spans="1:25" s="37" customFormat="1" ht="16.5" customHeight="1" x14ac:dyDescent="0.25">
      <c r="A7" s="30">
        <v>2</v>
      </c>
      <c r="B7" s="31">
        <v>1613</v>
      </c>
      <c r="C7" s="32" t="s">
        <v>167</v>
      </c>
      <c r="D7" s="30" t="s">
        <v>16</v>
      </c>
      <c r="E7" s="33">
        <v>45821</v>
      </c>
      <c r="F7" s="30">
        <v>31</v>
      </c>
      <c r="G7" s="30">
        <v>19110000</v>
      </c>
      <c r="H7" s="30">
        <f t="shared" si="0"/>
        <v>19110000</v>
      </c>
      <c r="I7" s="30">
        <v>21756000</v>
      </c>
      <c r="J7" s="30">
        <f t="shared" si="1"/>
        <v>21756000</v>
      </c>
      <c r="K7" s="30">
        <v>11760000</v>
      </c>
      <c r="L7" s="30">
        <f t="shared" si="2"/>
        <v>11760000</v>
      </c>
      <c r="M7" s="30">
        <v>7004000</v>
      </c>
      <c r="N7" s="30">
        <f t="shared" si="3"/>
        <v>7004000</v>
      </c>
      <c r="O7" s="30"/>
      <c r="P7" s="30"/>
      <c r="Q7" s="30">
        <f t="shared" si="5"/>
        <v>59630000</v>
      </c>
      <c r="R7" s="30">
        <f>VLOOKUP(B7,'[1]Đi tàu'!$B$7:$F$119,5,FALSE)</f>
        <v>810000</v>
      </c>
      <c r="S7" s="34">
        <f>VLOOKUP(B7,[2]T3!$B$7:$F$116,5,FALSE)</f>
        <v>45000</v>
      </c>
      <c r="T7" s="30">
        <f t="shared" ref="T7:T13" si="7">ROUND(200*$T$3,0)</f>
        <v>5231600</v>
      </c>
      <c r="U7" s="34"/>
      <c r="V7" s="30">
        <f t="shared" si="6"/>
        <v>53543400</v>
      </c>
      <c r="W7" s="99"/>
      <c r="X7" s="35"/>
      <c r="Y7" s="36"/>
    </row>
    <row r="8" spans="1:25" s="37" customFormat="1" ht="16.5" customHeight="1" x14ac:dyDescent="0.25">
      <c r="A8" s="30">
        <v>3</v>
      </c>
      <c r="B8" s="31">
        <v>1449</v>
      </c>
      <c r="C8" s="32" t="s">
        <v>168</v>
      </c>
      <c r="D8" s="30" t="s">
        <v>4</v>
      </c>
      <c r="E8" s="33">
        <v>45821</v>
      </c>
      <c r="F8" s="30">
        <v>31</v>
      </c>
      <c r="G8" s="30">
        <v>11895000</v>
      </c>
      <c r="H8" s="30">
        <f t="shared" si="0"/>
        <v>11895000</v>
      </c>
      <c r="I8" s="30">
        <v>13542000</v>
      </c>
      <c r="J8" s="30">
        <f t="shared" si="1"/>
        <v>13542000</v>
      </c>
      <c r="K8" s="30">
        <v>7320000</v>
      </c>
      <c r="L8" s="30">
        <f t="shared" si="2"/>
        <v>7320000</v>
      </c>
      <c r="M8" s="30">
        <v>6323000</v>
      </c>
      <c r="N8" s="30">
        <f t="shared" si="3"/>
        <v>6323000</v>
      </c>
      <c r="O8" s="30"/>
      <c r="P8" s="30"/>
      <c r="Q8" s="30">
        <f t="shared" si="5"/>
        <v>39080000</v>
      </c>
      <c r="R8" s="30">
        <f>VLOOKUP(B8,'[1]Đi tàu'!$B$7:$F$119,5,FALSE)</f>
        <v>720000</v>
      </c>
      <c r="S8" s="34">
        <f>VLOOKUP(B8,[2]T3!$B$7:$F$116,5,FALSE)</f>
        <v>40000</v>
      </c>
      <c r="T8" s="30">
        <f t="shared" si="7"/>
        <v>5231600</v>
      </c>
      <c r="U8" s="34"/>
      <c r="V8" s="30">
        <f t="shared" si="6"/>
        <v>33088400</v>
      </c>
      <c r="W8" s="99"/>
      <c r="X8" s="35"/>
      <c r="Y8" s="36"/>
    </row>
    <row r="9" spans="1:25" s="37" customFormat="1" ht="16.5" customHeight="1" x14ac:dyDescent="0.25">
      <c r="A9" s="30">
        <v>4</v>
      </c>
      <c r="B9" s="31">
        <v>3050</v>
      </c>
      <c r="C9" s="32" t="s">
        <v>445</v>
      </c>
      <c r="D9" s="30" t="s">
        <v>5</v>
      </c>
      <c r="E9" s="33">
        <v>46007</v>
      </c>
      <c r="F9" s="30">
        <v>31</v>
      </c>
      <c r="G9" s="30">
        <v>10725000</v>
      </c>
      <c r="H9" s="30">
        <f t="shared" ref="H9" si="8">ROUND(G9*F9/$C$3,0)</f>
        <v>10725000</v>
      </c>
      <c r="I9" s="30">
        <v>12210000</v>
      </c>
      <c r="J9" s="30">
        <f t="shared" ref="J9" si="9">ROUND(I9*F9/$C$3,0)</f>
        <v>12210000</v>
      </c>
      <c r="K9" s="30">
        <v>6600000</v>
      </c>
      <c r="L9" s="30">
        <f t="shared" ref="L9" si="10">ROUND(K9*F9/$C$3,0)</f>
        <v>6600000</v>
      </c>
      <c r="M9" s="30">
        <v>6035000</v>
      </c>
      <c r="N9" s="30">
        <f t="shared" ref="N9" si="11">ROUND(M9*F9/$C$3,0)</f>
        <v>6035000</v>
      </c>
      <c r="O9" s="30"/>
      <c r="P9" s="30"/>
      <c r="Q9" s="30">
        <f t="shared" ref="Q9" si="12">ROUND(H9+J9+L9+N9+P9,0)</f>
        <v>35570000</v>
      </c>
      <c r="R9" s="30">
        <f>VLOOKUP(B9,'[1]Đi tàu'!$B$7:$F$119,5,FALSE)</f>
        <v>675000</v>
      </c>
      <c r="S9" s="34">
        <f>VLOOKUP(B9,[2]T3!$B$7:$F$116,5,FALSE)</f>
        <v>37500</v>
      </c>
      <c r="T9" s="30">
        <f t="shared" si="7"/>
        <v>5231600</v>
      </c>
      <c r="U9" s="34"/>
      <c r="V9" s="30">
        <f t="shared" ref="V9" si="13">ROUND(Q9-R9-S9-T9-U9,0)</f>
        <v>29625900</v>
      </c>
      <c r="W9" s="99"/>
      <c r="X9" s="35"/>
      <c r="Y9" s="36"/>
    </row>
    <row r="10" spans="1:25" s="37" customFormat="1" ht="16.5" customHeight="1" x14ac:dyDescent="0.25">
      <c r="A10" s="30">
        <v>5</v>
      </c>
      <c r="B10" s="31">
        <v>1572</v>
      </c>
      <c r="C10" s="32" t="s">
        <v>169</v>
      </c>
      <c r="D10" s="30" t="s">
        <v>6</v>
      </c>
      <c r="E10" s="33">
        <v>45824</v>
      </c>
      <c r="F10" s="30">
        <v>31</v>
      </c>
      <c r="G10" s="30">
        <v>22620000</v>
      </c>
      <c r="H10" s="30">
        <f t="shared" ref="H10" si="14">ROUND(G10*F10/$C$3,0)</f>
        <v>22620000</v>
      </c>
      <c r="I10" s="30">
        <v>25752000</v>
      </c>
      <c r="J10" s="30">
        <f t="shared" ref="J10" si="15">ROUND(I10*F10/$C$3,0)</f>
        <v>25752000</v>
      </c>
      <c r="K10" s="30">
        <v>13920000</v>
      </c>
      <c r="L10" s="30">
        <f t="shared" ref="L10" si="16">ROUND(K10*F10/$C$3,0)</f>
        <v>13920000</v>
      </c>
      <c r="M10" s="30">
        <v>4318000</v>
      </c>
      <c r="N10" s="30">
        <f t="shared" ref="N10" si="17">ROUND(M10*F10/$C$3,0)</f>
        <v>4318000</v>
      </c>
      <c r="O10" s="30">
        <v>12000000</v>
      </c>
      <c r="P10" s="30">
        <f t="shared" ref="P10" si="18">ROUND(O10*F10/$C$3,0)</f>
        <v>12000000</v>
      </c>
      <c r="Q10" s="30">
        <f t="shared" ref="Q10" si="19">ROUND(H10+J10+L10+N10+P10,0)</f>
        <v>78610000</v>
      </c>
      <c r="R10" s="30">
        <f>VLOOKUP(B10,'[1]Đi tàu'!$B$7:$F$119,5,FALSE)</f>
        <v>1035000</v>
      </c>
      <c r="S10" s="34">
        <f>VLOOKUP(B10,[2]T3!$B$7:$F$116,5,FALSE)</f>
        <v>57500</v>
      </c>
      <c r="T10" s="30">
        <f t="shared" si="7"/>
        <v>5231600</v>
      </c>
      <c r="U10" s="34"/>
      <c r="V10" s="30">
        <f t="shared" ref="V10" si="20">ROUND(Q10-R10-S10-T10-U10,0)</f>
        <v>72285900</v>
      </c>
      <c r="W10" s="99" t="s">
        <v>447</v>
      </c>
      <c r="X10" s="35"/>
      <c r="Y10" s="36"/>
    </row>
    <row r="11" spans="1:25" s="37" customFormat="1" ht="16.5" customHeight="1" x14ac:dyDescent="0.25">
      <c r="A11" s="30">
        <v>6</v>
      </c>
      <c r="B11" s="31">
        <v>1699</v>
      </c>
      <c r="C11" s="32" t="s">
        <v>170</v>
      </c>
      <c r="D11" s="30" t="s">
        <v>17</v>
      </c>
      <c r="E11" s="33">
        <v>45821</v>
      </c>
      <c r="F11" s="30">
        <v>31</v>
      </c>
      <c r="G11" s="30">
        <v>19110000</v>
      </c>
      <c r="H11" s="30">
        <f t="shared" ref="H11" si="21">ROUND(G11*F11/$C$3,0)</f>
        <v>19110000</v>
      </c>
      <c r="I11" s="30">
        <v>21756000</v>
      </c>
      <c r="J11" s="30">
        <f t="shared" ref="J11" si="22">ROUND(I11*F11/$C$3,0)</f>
        <v>21756000</v>
      </c>
      <c r="K11" s="30">
        <v>11760000</v>
      </c>
      <c r="L11" s="30">
        <f t="shared" ref="L11" si="23">ROUND(K11*F11/$C$3,0)</f>
        <v>11760000</v>
      </c>
      <c r="M11" s="30">
        <v>7004000</v>
      </c>
      <c r="N11" s="30">
        <f t="shared" ref="N11" si="24">ROUND(M11*F11/$C$3,0)</f>
        <v>7004000</v>
      </c>
      <c r="O11" s="30"/>
      <c r="P11" s="30"/>
      <c r="Q11" s="30">
        <f t="shared" ref="Q11" si="25">ROUND(H11+J11+L11+N11+P11,0)</f>
        <v>59630000</v>
      </c>
      <c r="R11" s="30">
        <f>VLOOKUP(B11,'[1]Đi tàu'!$B$7:$F$119,5,FALSE)</f>
        <v>810000</v>
      </c>
      <c r="S11" s="34">
        <f>VLOOKUP(B11,[2]T3!$B$7:$F$116,5,FALSE)</f>
        <v>45000</v>
      </c>
      <c r="T11" s="30">
        <f t="shared" si="7"/>
        <v>5231600</v>
      </c>
      <c r="U11" s="34"/>
      <c r="V11" s="30">
        <f t="shared" ref="V11" si="26">ROUND(Q11-R11-S11-T11-U11,0)</f>
        <v>53543400</v>
      </c>
      <c r="W11" s="99" t="s">
        <v>447</v>
      </c>
      <c r="X11" s="35"/>
      <c r="Y11" s="36"/>
    </row>
    <row r="12" spans="1:25" s="37" customFormat="1" ht="16.5" customHeight="1" x14ac:dyDescent="0.25">
      <c r="A12" s="30">
        <v>7</v>
      </c>
      <c r="B12" s="31">
        <v>1137</v>
      </c>
      <c r="C12" s="32" t="s">
        <v>448</v>
      </c>
      <c r="D12" s="30" t="s">
        <v>7</v>
      </c>
      <c r="E12" s="33">
        <v>46007</v>
      </c>
      <c r="F12" s="30">
        <v>31</v>
      </c>
      <c r="G12" s="30">
        <v>11895000</v>
      </c>
      <c r="H12" s="30">
        <f t="shared" ref="H12" si="27">ROUND(G12*F12/$C$3,0)</f>
        <v>11895000</v>
      </c>
      <c r="I12" s="30">
        <v>13542000</v>
      </c>
      <c r="J12" s="30">
        <f t="shared" ref="J12" si="28">ROUND(I12*F12/$C$3,0)</f>
        <v>13542000</v>
      </c>
      <c r="K12" s="30">
        <v>7320000</v>
      </c>
      <c r="L12" s="30">
        <f t="shared" ref="L12" si="29">ROUND(K12*F12/$C$3,0)</f>
        <v>7320000</v>
      </c>
      <c r="M12" s="30">
        <v>6323000</v>
      </c>
      <c r="N12" s="30">
        <f t="shared" ref="N12" si="30">ROUND(M12*F12/$C$3,0)</f>
        <v>6323000</v>
      </c>
      <c r="O12" s="30"/>
      <c r="P12" s="30"/>
      <c r="Q12" s="30">
        <f t="shared" ref="Q12" si="31">ROUND(H12+J12+L12+N12+P12,0)</f>
        <v>39080000</v>
      </c>
      <c r="R12" s="30">
        <f>VLOOKUP(B12,'[1]Đi tàu'!$B$7:$F$119,5,FALSE)</f>
        <v>720000</v>
      </c>
      <c r="S12" s="34">
        <f>VLOOKUP(B12,[2]T3!$B$7:$F$116,5,FALSE)</f>
        <v>40000</v>
      </c>
      <c r="T12" s="30">
        <f t="shared" si="7"/>
        <v>5231600</v>
      </c>
      <c r="U12" s="34"/>
      <c r="V12" s="30">
        <f t="shared" ref="V12" si="32">ROUND(Q12-R12-S12-T12-U12,0)</f>
        <v>33088400</v>
      </c>
      <c r="W12" s="99"/>
      <c r="X12" s="35"/>
      <c r="Y12" s="36"/>
    </row>
    <row r="13" spans="1:25" s="37" customFormat="1" ht="16.5" customHeight="1" x14ac:dyDescent="0.25">
      <c r="A13" s="30">
        <v>8</v>
      </c>
      <c r="B13" s="31" t="s">
        <v>176</v>
      </c>
      <c r="C13" s="32" t="s">
        <v>177</v>
      </c>
      <c r="D13" s="30" t="s">
        <v>8</v>
      </c>
      <c r="E13" s="33">
        <v>45821</v>
      </c>
      <c r="F13" s="30">
        <v>31</v>
      </c>
      <c r="G13" s="30">
        <v>10725000</v>
      </c>
      <c r="H13" s="30">
        <f t="shared" si="0"/>
        <v>10725000</v>
      </c>
      <c r="I13" s="30">
        <v>12210000</v>
      </c>
      <c r="J13" s="30">
        <f t="shared" si="1"/>
        <v>12210000</v>
      </c>
      <c r="K13" s="30">
        <v>6600000</v>
      </c>
      <c r="L13" s="30">
        <f t="shared" si="2"/>
        <v>6600000</v>
      </c>
      <c r="M13" s="30">
        <v>6035000</v>
      </c>
      <c r="N13" s="30">
        <f t="shared" si="3"/>
        <v>6035000</v>
      </c>
      <c r="O13" s="30"/>
      <c r="P13" s="30"/>
      <c r="Q13" s="30">
        <f>ROUND(H13+J13+L13+N13+P13,0)</f>
        <v>35570000</v>
      </c>
      <c r="R13" s="30">
        <f>VLOOKUP(B13,'[1]Đi tàu'!$B$7:$F$119,5,FALSE)</f>
        <v>2062500</v>
      </c>
      <c r="S13" s="34"/>
      <c r="T13" s="30">
        <f t="shared" si="7"/>
        <v>5231600</v>
      </c>
      <c r="U13" s="34"/>
      <c r="V13" s="30">
        <f>ROUND(Q13-R13-S13-T13-U13,0)</f>
        <v>28275900</v>
      </c>
      <c r="W13" s="99"/>
      <c r="X13" s="35"/>
      <c r="Y13" s="36"/>
    </row>
    <row r="14" spans="1:25" s="37" customFormat="1" ht="16.5" customHeight="1" x14ac:dyDescent="0.25">
      <c r="A14" s="30">
        <v>9</v>
      </c>
      <c r="B14" s="38">
        <v>1512</v>
      </c>
      <c r="C14" s="39" t="s">
        <v>171</v>
      </c>
      <c r="D14" s="40" t="s">
        <v>9</v>
      </c>
      <c r="E14" s="41">
        <v>45821</v>
      </c>
      <c r="F14" s="30">
        <v>31</v>
      </c>
      <c r="G14" s="40">
        <v>8385000</v>
      </c>
      <c r="H14" s="40">
        <f t="shared" si="0"/>
        <v>8385000</v>
      </c>
      <c r="I14" s="40">
        <v>9546000</v>
      </c>
      <c r="J14" s="30">
        <f t="shared" si="1"/>
        <v>9546000</v>
      </c>
      <c r="K14" s="40">
        <v>5160000</v>
      </c>
      <c r="L14" s="30">
        <f t="shared" si="2"/>
        <v>5160000</v>
      </c>
      <c r="M14" s="40">
        <v>4909000</v>
      </c>
      <c r="N14" s="30">
        <f t="shared" si="3"/>
        <v>4909000</v>
      </c>
      <c r="O14" s="40"/>
      <c r="P14" s="30"/>
      <c r="Q14" s="30">
        <f t="shared" si="5"/>
        <v>28000000</v>
      </c>
      <c r="R14" s="30">
        <f>VLOOKUP(B14,'[1]Đi tàu'!$B$7:$F$119,5,FALSE)</f>
        <v>585000</v>
      </c>
      <c r="S14" s="34">
        <f>VLOOKUP(B14,[2]T3!$B$7:$F$116,5,FALSE)</f>
        <v>32500</v>
      </c>
      <c r="T14" s="30">
        <f>ROUND(100*$T$3,0)</f>
        <v>2615800</v>
      </c>
      <c r="U14" s="34"/>
      <c r="V14" s="30">
        <f t="shared" si="6"/>
        <v>24766700</v>
      </c>
      <c r="W14" s="100"/>
      <c r="X14" s="35"/>
    </row>
    <row r="15" spans="1:25" s="37" customFormat="1" ht="16.5" customHeight="1" x14ac:dyDescent="0.25">
      <c r="A15" s="30">
        <v>10</v>
      </c>
      <c r="B15" s="31">
        <v>2904</v>
      </c>
      <c r="C15" s="32" t="s">
        <v>239</v>
      </c>
      <c r="D15" s="30" t="s">
        <v>10</v>
      </c>
      <c r="E15" s="33">
        <v>45882</v>
      </c>
      <c r="F15" s="30">
        <v>31</v>
      </c>
      <c r="G15" s="30">
        <v>6630000</v>
      </c>
      <c r="H15" s="30">
        <f t="shared" ref="H15" si="33">ROUND(G15*F15/$C$3,0)</f>
        <v>6630000</v>
      </c>
      <c r="I15" s="30">
        <v>7548000</v>
      </c>
      <c r="J15" s="30">
        <f t="shared" ref="J15" si="34">ROUND(I15*F15/$C$3,0)</f>
        <v>7548000</v>
      </c>
      <c r="K15" s="30">
        <v>4080000</v>
      </c>
      <c r="L15" s="30">
        <f t="shared" ref="L15" si="35">ROUND(K15*F15/$C$3,0)</f>
        <v>4080000</v>
      </c>
      <c r="M15" s="30">
        <v>4742000</v>
      </c>
      <c r="N15" s="30">
        <f t="shared" ref="N15" si="36">ROUND(M15*F15/$C$3,0)</f>
        <v>4742000</v>
      </c>
      <c r="O15" s="30"/>
      <c r="P15" s="30"/>
      <c r="Q15" s="30">
        <f t="shared" ref="Q15" si="37">ROUND(H15+J15+L15+N15+P15,0)</f>
        <v>23000000</v>
      </c>
      <c r="R15" s="30">
        <f>VLOOKUP(B15,'[1]Đi tàu'!$B$7:$F$119,5,FALSE)</f>
        <v>540000</v>
      </c>
      <c r="S15" s="34">
        <f>VLOOKUP(B15,[2]T3!$B$7:$F$116,5,FALSE)</f>
        <v>30000</v>
      </c>
      <c r="T15" s="30">
        <f>ROUND(100*$T$3,0)</f>
        <v>2615800</v>
      </c>
      <c r="U15" s="34"/>
      <c r="V15" s="30">
        <f t="shared" ref="V15" si="38">ROUND(Q15-R15-S15-T15-U15,0)</f>
        <v>19814200</v>
      </c>
      <c r="W15" s="99"/>
      <c r="X15" s="35"/>
      <c r="Y15" s="36"/>
    </row>
    <row r="16" spans="1:25" s="37" customFormat="1" ht="16.5" customHeight="1" x14ac:dyDescent="0.25">
      <c r="A16" s="30">
        <v>11</v>
      </c>
      <c r="B16" s="31">
        <v>2757</v>
      </c>
      <c r="C16" s="32" t="s">
        <v>172</v>
      </c>
      <c r="D16" s="30" t="s">
        <v>10</v>
      </c>
      <c r="E16" s="33">
        <v>45821</v>
      </c>
      <c r="F16" s="30">
        <v>31</v>
      </c>
      <c r="G16" s="30">
        <v>6630000</v>
      </c>
      <c r="H16" s="30">
        <f t="shared" si="0"/>
        <v>6630000</v>
      </c>
      <c r="I16" s="30">
        <v>7548000</v>
      </c>
      <c r="J16" s="30">
        <f t="shared" si="1"/>
        <v>7548000</v>
      </c>
      <c r="K16" s="30">
        <v>4080000</v>
      </c>
      <c r="L16" s="30">
        <f t="shared" si="2"/>
        <v>4080000</v>
      </c>
      <c r="M16" s="30">
        <v>4742000</v>
      </c>
      <c r="N16" s="30">
        <f t="shared" si="3"/>
        <v>4742000</v>
      </c>
      <c r="O16" s="30"/>
      <c r="P16" s="30"/>
      <c r="Q16" s="30">
        <f t="shared" si="5"/>
        <v>23000000</v>
      </c>
      <c r="R16" s="30">
        <f>VLOOKUP(B16,'[1]Đi tàu'!$B$7:$F$119,5,FALSE)</f>
        <v>540000</v>
      </c>
      <c r="S16" s="34">
        <f>VLOOKUP(B16,[2]T3!$B$7:$F$116,5,FALSE)</f>
        <v>30000</v>
      </c>
      <c r="T16" s="30">
        <f t="shared" ref="T16:T25" si="39">ROUND(100*$T$3,0)</f>
        <v>2615800</v>
      </c>
      <c r="U16" s="34"/>
      <c r="V16" s="30">
        <f t="shared" si="6"/>
        <v>19814200</v>
      </c>
      <c r="W16" s="99"/>
      <c r="X16" s="35"/>
      <c r="Y16" s="36"/>
    </row>
    <row r="17" spans="1:25" s="37" customFormat="1" ht="16.5" customHeight="1" x14ac:dyDescent="0.25">
      <c r="A17" s="30">
        <v>12</v>
      </c>
      <c r="B17" s="31">
        <v>2963</v>
      </c>
      <c r="C17" s="32" t="s">
        <v>436</v>
      </c>
      <c r="D17" s="30" t="s">
        <v>10</v>
      </c>
      <c r="E17" s="33">
        <v>45964</v>
      </c>
      <c r="F17" s="30">
        <v>31</v>
      </c>
      <c r="G17" s="30">
        <v>6630000</v>
      </c>
      <c r="H17" s="30">
        <f t="shared" ref="H17" si="40">ROUND(G17*F17/$C$3,0)</f>
        <v>6630000</v>
      </c>
      <c r="I17" s="30">
        <v>7548000</v>
      </c>
      <c r="J17" s="30">
        <f t="shared" ref="J17" si="41">ROUND(I17*F17/$C$3,0)</f>
        <v>7548000</v>
      </c>
      <c r="K17" s="30">
        <v>4080000</v>
      </c>
      <c r="L17" s="30">
        <f t="shared" ref="L17" si="42">ROUND(K17*F17/$C$3,0)</f>
        <v>4080000</v>
      </c>
      <c r="M17" s="30">
        <v>4742000</v>
      </c>
      <c r="N17" s="30">
        <f t="shared" ref="N17" si="43">ROUND(M17*F17/$C$3,0)</f>
        <v>4742000</v>
      </c>
      <c r="O17" s="30"/>
      <c r="P17" s="30"/>
      <c r="Q17" s="30">
        <f t="shared" ref="Q17" si="44">ROUND(H17+J17+L17+N17+P17,0)</f>
        <v>23000000</v>
      </c>
      <c r="R17" s="30">
        <f>VLOOKUP(B17,'[1]Đi tàu'!$B$7:$F$119,5,FALSE)</f>
        <v>540000</v>
      </c>
      <c r="S17" s="34">
        <f>VLOOKUP(B17,[2]T3!$B$7:$F$116,5,FALSE)</f>
        <v>30000</v>
      </c>
      <c r="T17" s="30">
        <f t="shared" si="39"/>
        <v>2615800</v>
      </c>
      <c r="U17" s="34"/>
      <c r="V17" s="30">
        <f t="shared" ref="V17" si="45">ROUND(Q17-R17-S17-T17-U17,0)</f>
        <v>19814200</v>
      </c>
      <c r="W17" s="99"/>
      <c r="X17" s="35"/>
      <c r="Y17" s="36"/>
    </row>
    <row r="18" spans="1:25" s="37" customFormat="1" ht="16.5" customHeight="1" x14ac:dyDescent="0.25">
      <c r="A18" s="30">
        <v>13</v>
      </c>
      <c r="B18" s="31">
        <v>2987</v>
      </c>
      <c r="C18" s="32" t="s">
        <v>173</v>
      </c>
      <c r="D18" s="30" t="s">
        <v>10</v>
      </c>
      <c r="E18" s="33">
        <v>45821</v>
      </c>
      <c r="F18" s="30">
        <v>31</v>
      </c>
      <c r="G18" s="30">
        <v>6630000</v>
      </c>
      <c r="H18" s="30">
        <f t="shared" ref="H18" si="46">ROUND(G18*F18/$C$3,0)</f>
        <v>6630000</v>
      </c>
      <c r="I18" s="30">
        <v>7548000</v>
      </c>
      <c r="J18" s="30">
        <f t="shared" ref="J18" si="47">ROUND(I18*F18/$C$3,0)</f>
        <v>7548000</v>
      </c>
      <c r="K18" s="30">
        <v>4080000</v>
      </c>
      <c r="L18" s="30">
        <f t="shared" ref="L18" si="48">ROUND(K18*F18/$C$3,0)</f>
        <v>4080000</v>
      </c>
      <c r="M18" s="30">
        <v>4742000</v>
      </c>
      <c r="N18" s="30">
        <f t="shared" ref="N18" si="49">ROUND(M18*F18/$C$3,0)</f>
        <v>4742000</v>
      </c>
      <c r="O18" s="30"/>
      <c r="P18" s="30"/>
      <c r="Q18" s="30">
        <f t="shared" ref="Q18" si="50">ROUND(H18+J18+L18+N18+P18,0)</f>
        <v>23000000</v>
      </c>
      <c r="R18" s="30">
        <f>VLOOKUP(B18,'[1]Đi tàu'!$B$7:$F$119,5,FALSE)</f>
        <v>540000</v>
      </c>
      <c r="S18" s="34">
        <f>VLOOKUP(B18,[2]T3!$B$7:$F$116,5,FALSE)</f>
        <v>30000</v>
      </c>
      <c r="T18" s="30">
        <f t="shared" si="39"/>
        <v>2615800</v>
      </c>
      <c r="U18" s="34"/>
      <c r="V18" s="30">
        <f t="shared" ref="V18" si="51">ROUND(Q18-R18-S18-T18-U18,0)</f>
        <v>19814200</v>
      </c>
      <c r="W18" s="99" t="s">
        <v>447</v>
      </c>
      <c r="X18" s="35"/>
      <c r="Y18" s="36"/>
    </row>
    <row r="19" spans="1:25" s="37" customFormat="1" ht="16.5" customHeight="1" x14ac:dyDescent="0.25">
      <c r="A19" s="30">
        <v>14</v>
      </c>
      <c r="B19" s="31">
        <v>3032</v>
      </c>
      <c r="C19" s="32" t="s">
        <v>178</v>
      </c>
      <c r="D19" s="30" t="s">
        <v>11</v>
      </c>
      <c r="E19" s="33">
        <v>45821</v>
      </c>
      <c r="F19" s="30">
        <v>31</v>
      </c>
      <c r="G19" s="30">
        <v>5655000</v>
      </c>
      <c r="H19" s="30">
        <f t="shared" ref="H19" si="52">ROUND(G19*F19/$C$3,0)</f>
        <v>5655000</v>
      </c>
      <c r="I19" s="30">
        <v>6438000</v>
      </c>
      <c r="J19" s="30">
        <f t="shared" ref="J19" si="53">ROUND(I19*F19/$C$3,0)</f>
        <v>6438000</v>
      </c>
      <c r="K19" s="30">
        <v>3480000</v>
      </c>
      <c r="L19" s="30">
        <f t="shared" ref="L19" si="54">ROUND(K19*F19/$C$3,0)</f>
        <v>3480000</v>
      </c>
      <c r="M19" s="30">
        <v>2427000</v>
      </c>
      <c r="N19" s="30">
        <f t="shared" ref="N19" si="55">ROUND(M19*F19/$C$3,0)</f>
        <v>2427000</v>
      </c>
      <c r="O19" s="30"/>
      <c r="P19" s="30"/>
      <c r="Q19" s="30">
        <f t="shared" ref="Q19" si="56">ROUND(H19+J19+L19+N19+P19,0)</f>
        <v>18000000</v>
      </c>
      <c r="R19" s="30">
        <f>VLOOKUP(B19,'[1]Đi tàu'!$B$7:$F$119,5,FALSE)</f>
        <v>540000</v>
      </c>
      <c r="S19" s="34">
        <f>VLOOKUP(B19,[2]T3!$B$7:$F$116,5,FALSE)</f>
        <v>30000</v>
      </c>
      <c r="T19" s="30">
        <f t="shared" si="39"/>
        <v>2615800</v>
      </c>
      <c r="U19" s="34"/>
      <c r="V19" s="30">
        <f t="shared" ref="V19" si="57">ROUND(Q19-R19-S19-T19-U19,0)</f>
        <v>14814200</v>
      </c>
      <c r="W19" s="99" t="s">
        <v>240</v>
      </c>
      <c r="X19" s="35"/>
      <c r="Y19" s="36"/>
    </row>
    <row r="20" spans="1:25" s="37" customFormat="1" ht="16.5" customHeight="1" x14ac:dyDescent="0.25">
      <c r="A20" s="30">
        <v>15</v>
      </c>
      <c r="B20" s="31">
        <v>3036</v>
      </c>
      <c r="C20" s="32" t="s">
        <v>241</v>
      </c>
      <c r="D20" s="30" t="s">
        <v>11</v>
      </c>
      <c r="E20" s="33">
        <v>45882</v>
      </c>
      <c r="F20" s="30">
        <v>31</v>
      </c>
      <c r="G20" s="30">
        <v>5655000</v>
      </c>
      <c r="H20" s="30">
        <f t="shared" ref="H20" si="58">ROUND(G20*F20/$C$3,0)</f>
        <v>5655000</v>
      </c>
      <c r="I20" s="30">
        <v>6438000</v>
      </c>
      <c r="J20" s="30">
        <f t="shared" ref="J20" si="59">ROUND(I20*F20/$C$3,0)</f>
        <v>6438000</v>
      </c>
      <c r="K20" s="30">
        <v>3480000</v>
      </c>
      <c r="L20" s="30">
        <f t="shared" ref="L20" si="60">ROUND(K20*F20/$C$3,0)</f>
        <v>3480000</v>
      </c>
      <c r="M20" s="30">
        <v>2427000</v>
      </c>
      <c r="N20" s="30">
        <f t="shared" ref="N20" si="61">ROUND(M20*F20/$C$3,0)</f>
        <v>2427000</v>
      </c>
      <c r="O20" s="30"/>
      <c r="P20" s="30"/>
      <c r="Q20" s="30">
        <f t="shared" ref="Q20" si="62">ROUND(H20+J20+L20+N20+P20,0)</f>
        <v>18000000</v>
      </c>
      <c r="R20" s="30">
        <f>VLOOKUP(B20,'[1]Đi tàu'!$B$7:$F$119,5,FALSE)</f>
        <v>540000</v>
      </c>
      <c r="S20" s="34">
        <f>VLOOKUP(B20,[2]T3!$B$7:$F$116,5,FALSE)</f>
        <v>30000</v>
      </c>
      <c r="T20" s="30">
        <f t="shared" si="39"/>
        <v>2615800</v>
      </c>
      <c r="U20" s="34"/>
      <c r="V20" s="30">
        <f t="shared" ref="V20" si="63">ROUND(Q20-R20-S20-T20-U20,0)</f>
        <v>14814200</v>
      </c>
      <c r="W20" s="99" t="s">
        <v>449</v>
      </c>
      <c r="X20" s="35"/>
      <c r="Y20" s="36"/>
    </row>
    <row r="21" spans="1:25" s="37" customFormat="1" ht="16.5" customHeight="1" x14ac:dyDescent="0.25">
      <c r="A21" s="30">
        <v>16</v>
      </c>
      <c r="B21" s="38">
        <v>2826</v>
      </c>
      <c r="C21" s="39" t="s">
        <v>446</v>
      </c>
      <c r="D21" s="40" t="s">
        <v>12</v>
      </c>
      <c r="E21" s="41">
        <v>46007</v>
      </c>
      <c r="F21" s="30">
        <v>31</v>
      </c>
      <c r="G21" s="40">
        <v>8385000</v>
      </c>
      <c r="H21" s="40">
        <f t="shared" ref="H21" si="64">ROUND(G21*F21/$C$3,0)</f>
        <v>8385000</v>
      </c>
      <c r="I21" s="40">
        <v>9546000</v>
      </c>
      <c r="J21" s="30">
        <f t="shared" ref="J21" si="65">ROUND(I21*F21/$C$3,0)</f>
        <v>9546000</v>
      </c>
      <c r="K21" s="40">
        <v>5160000</v>
      </c>
      <c r="L21" s="30">
        <f t="shared" ref="L21" si="66">ROUND(K21*F21/$C$3,0)</f>
        <v>5160000</v>
      </c>
      <c r="M21" s="40">
        <v>4909000</v>
      </c>
      <c r="N21" s="30">
        <f t="shared" ref="N21" si="67">ROUND(M21*F21/$C$3,0)</f>
        <v>4909000</v>
      </c>
      <c r="O21" s="40"/>
      <c r="P21" s="30"/>
      <c r="Q21" s="30">
        <f t="shared" ref="Q21" si="68">ROUND(H21+J21+L21+N21+P21,0)</f>
        <v>28000000</v>
      </c>
      <c r="R21" s="30">
        <f>VLOOKUP(B21,'[1]Đi tàu'!$B$7:$F$119,5,FALSE)</f>
        <v>585000</v>
      </c>
      <c r="S21" s="34">
        <f>VLOOKUP(B21,[2]T3!$B$7:$F$116,5,FALSE)</f>
        <v>32500</v>
      </c>
      <c r="T21" s="30">
        <f t="shared" si="39"/>
        <v>2615800</v>
      </c>
      <c r="U21" s="34"/>
      <c r="V21" s="30">
        <f t="shared" ref="V21" si="69">ROUND(Q21-R21-S21-T21-U21,0)</f>
        <v>24766700</v>
      </c>
      <c r="W21" s="100"/>
      <c r="X21" s="35"/>
    </row>
    <row r="22" spans="1:25" s="37" customFormat="1" ht="16.5" customHeight="1" x14ac:dyDescent="0.25">
      <c r="A22" s="30">
        <v>17</v>
      </c>
      <c r="B22" s="38">
        <v>2877</v>
      </c>
      <c r="C22" s="39" t="s">
        <v>425</v>
      </c>
      <c r="D22" s="40" t="s">
        <v>13</v>
      </c>
      <c r="E22" s="41">
        <v>45964</v>
      </c>
      <c r="F22" s="30">
        <v>31</v>
      </c>
      <c r="G22" s="30">
        <v>6630000</v>
      </c>
      <c r="H22" s="30">
        <f t="shared" si="0"/>
        <v>6630000</v>
      </c>
      <c r="I22" s="30">
        <v>7548000</v>
      </c>
      <c r="J22" s="30">
        <f t="shared" si="1"/>
        <v>7548000</v>
      </c>
      <c r="K22" s="30">
        <v>4080000</v>
      </c>
      <c r="L22" s="30">
        <f t="shared" si="2"/>
        <v>4080000</v>
      </c>
      <c r="M22" s="30">
        <v>4742000</v>
      </c>
      <c r="N22" s="30">
        <f t="shared" si="3"/>
        <v>4742000</v>
      </c>
      <c r="O22" s="30"/>
      <c r="P22" s="30"/>
      <c r="Q22" s="30">
        <f t="shared" si="5"/>
        <v>23000000</v>
      </c>
      <c r="R22" s="30">
        <f>VLOOKUP(B22,'[1]Đi tàu'!$B$7:$F$119,5,FALSE)</f>
        <v>540000</v>
      </c>
      <c r="S22" s="34">
        <f>VLOOKUP(B22,[2]T3!$B$7:$F$116,5,FALSE)</f>
        <v>30000</v>
      </c>
      <c r="T22" s="30">
        <f t="shared" si="39"/>
        <v>2615800</v>
      </c>
      <c r="U22" s="34"/>
      <c r="V22" s="30">
        <f t="shared" si="6"/>
        <v>19814200</v>
      </c>
      <c r="W22" s="100"/>
      <c r="X22" s="35"/>
    </row>
    <row r="23" spans="1:25" s="37" customFormat="1" ht="16.5" customHeight="1" x14ac:dyDescent="0.25">
      <c r="A23" s="30">
        <v>18</v>
      </c>
      <c r="B23" s="38">
        <v>2796</v>
      </c>
      <c r="C23" s="39" t="s">
        <v>426</v>
      </c>
      <c r="D23" s="40" t="s">
        <v>13</v>
      </c>
      <c r="E23" s="41">
        <v>45964</v>
      </c>
      <c r="F23" s="30">
        <v>31</v>
      </c>
      <c r="G23" s="30">
        <v>6630000</v>
      </c>
      <c r="H23" s="30">
        <f t="shared" ref="H23" si="70">ROUND(G23*F23/$C$3,0)</f>
        <v>6630000</v>
      </c>
      <c r="I23" s="30">
        <v>7548000</v>
      </c>
      <c r="J23" s="30">
        <f t="shared" ref="J23" si="71">ROUND(I23*F23/$C$3,0)</f>
        <v>7548000</v>
      </c>
      <c r="K23" s="30">
        <v>4080000</v>
      </c>
      <c r="L23" s="30">
        <f t="shared" ref="L23" si="72">ROUND(K23*F23/$C$3,0)</f>
        <v>4080000</v>
      </c>
      <c r="M23" s="30">
        <v>4742000</v>
      </c>
      <c r="N23" s="30">
        <f t="shared" ref="N23" si="73">ROUND(M23*F23/$C$3,0)</f>
        <v>4742000</v>
      </c>
      <c r="O23" s="30"/>
      <c r="P23" s="30"/>
      <c r="Q23" s="30">
        <f t="shared" ref="Q23" si="74">ROUND(H23+J23+L23+N23+P23,0)</f>
        <v>23000000</v>
      </c>
      <c r="R23" s="30">
        <f>VLOOKUP(B23,'[1]Đi tàu'!$B$7:$F$119,5,FALSE)</f>
        <v>540000</v>
      </c>
      <c r="S23" s="34">
        <f>VLOOKUP(B23,[2]T3!$B$7:$F$116,5,FALSE)</f>
        <v>30000</v>
      </c>
      <c r="T23" s="30">
        <f t="shared" si="39"/>
        <v>2615800</v>
      </c>
      <c r="U23" s="34"/>
      <c r="V23" s="30">
        <f t="shared" ref="V23" si="75">ROUND(Q23-R23-S23-T23-U23,0)</f>
        <v>19814200</v>
      </c>
      <c r="W23" s="100"/>
      <c r="X23" s="35"/>
    </row>
    <row r="24" spans="1:25" s="37" customFormat="1" ht="16.5" customHeight="1" x14ac:dyDescent="0.25">
      <c r="A24" s="30">
        <v>19</v>
      </c>
      <c r="B24" s="38">
        <v>2813</v>
      </c>
      <c r="C24" s="39" t="s">
        <v>174</v>
      </c>
      <c r="D24" s="40" t="s">
        <v>13</v>
      </c>
      <c r="E24" s="41">
        <v>45821</v>
      </c>
      <c r="F24" s="30">
        <v>31</v>
      </c>
      <c r="G24" s="30">
        <v>6630000</v>
      </c>
      <c r="H24" s="30">
        <f t="shared" si="0"/>
        <v>6630000</v>
      </c>
      <c r="I24" s="30">
        <v>7548000</v>
      </c>
      <c r="J24" s="30">
        <f t="shared" si="1"/>
        <v>7548000</v>
      </c>
      <c r="K24" s="30">
        <v>4080000</v>
      </c>
      <c r="L24" s="30">
        <f t="shared" si="2"/>
        <v>4080000</v>
      </c>
      <c r="M24" s="30">
        <v>4742000</v>
      </c>
      <c r="N24" s="30">
        <f t="shared" si="3"/>
        <v>4742000</v>
      </c>
      <c r="O24" s="30"/>
      <c r="P24" s="30"/>
      <c r="Q24" s="30">
        <f t="shared" si="5"/>
        <v>23000000</v>
      </c>
      <c r="R24" s="30">
        <f>VLOOKUP(B24,'[1]Đi tàu'!$B$7:$F$119,5,FALSE)</f>
        <v>540000</v>
      </c>
      <c r="S24" s="34">
        <f>VLOOKUP(B24,[2]T3!$B$7:$F$116,5,FALSE)</f>
        <v>30000</v>
      </c>
      <c r="T24" s="30">
        <f t="shared" si="39"/>
        <v>2615800</v>
      </c>
      <c r="U24" s="34"/>
      <c r="V24" s="30">
        <f t="shared" si="6"/>
        <v>19814200</v>
      </c>
      <c r="W24" s="100"/>
      <c r="X24" s="35"/>
    </row>
    <row r="25" spans="1:25" s="37" customFormat="1" ht="16.5" customHeight="1" x14ac:dyDescent="0.25">
      <c r="A25" s="30">
        <v>20</v>
      </c>
      <c r="B25" s="38">
        <v>1756</v>
      </c>
      <c r="C25" s="39" t="s">
        <v>175</v>
      </c>
      <c r="D25" s="40" t="s">
        <v>14</v>
      </c>
      <c r="E25" s="41">
        <v>45821</v>
      </c>
      <c r="F25" s="30">
        <v>31</v>
      </c>
      <c r="G25" s="40">
        <v>8385000</v>
      </c>
      <c r="H25" s="40">
        <f t="shared" si="0"/>
        <v>8385000</v>
      </c>
      <c r="I25" s="40">
        <v>9546000</v>
      </c>
      <c r="J25" s="30">
        <f t="shared" si="1"/>
        <v>9546000</v>
      </c>
      <c r="K25" s="40">
        <v>5160000</v>
      </c>
      <c r="L25" s="30">
        <f t="shared" si="2"/>
        <v>5160000</v>
      </c>
      <c r="M25" s="40">
        <v>4909000</v>
      </c>
      <c r="N25" s="30">
        <f t="shared" si="3"/>
        <v>4909000</v>
      </c>
      <c r="O25" s="40"/>
      <c r="P25" s="30"/>
      <c r="Q25" s="30">
        <f t="shared" si="5"/>
        <v>28000000</v>
      </c>
      <c r="R25" s="30">
        <f>VLOOKUP(B25,'[1]Đi tàu'!$B$7:$F$119,5,FALSE)</f>
        <v>585000</v>
      </c>
      <c r="S25" s="34">
        <f>VLOOKUP(B25,[2]T3!$B$7:$F$116,5,FALSE)</f>
        <v>32500</v>
      </c>
      <c r="T25" s="30">
        <f t="shared" si="39"/>
        <v>2615800</v>
      </c>
      <c r="U25" s="34"/>
      <c r="V25" s="30">
        <f t="shared" si="6"/>
        <v>24766700</v>
      </c>
      <c r="W25" s="100"/>
      <c r="X25" s="35"/>
    </row>
    <row r="26" spans="1:25" s="37" customFormat="1" ht="16.5" customHeight="1" x14ac:dyDescent="0.25">
      <c r="A26" s="30">
        <v>21</v>
      </c>
      <c r="B26" s="68">
        <v>3047</v>
      </c>
      <c r="C26" s="69" t="s">
        <v>427</v>
      </c>
      <c r="D26" s="67" t="s">
        <v>15</v>
      </c>
      <c r="E26" s="73">
        <v>45964</v>
      </c>
      <c r="F26" s="30">
        <v>31</v>
      </c>
      <c r="G26" s="67">
        <v>5655000</v>
      </c>
      <c r="H26" s="67">
        <f t="shared" si="0"/>
        <v>5655000</v>
      </c>
      <c r="I26" s="67">
        <v>6438000</v>
      </c>
      <c r="J26" s="67">
        <f t="shared" si="1"/>
        <v>6438000</v>
      </c>
      <c r="K26" s="67">
        <v>3480000</v>
      </c>
      <c r="L26" s="67">
        <f t="shared" si="2"/>
        <v>3480000</v>
      </c>
      <c r="M26" s="67">
        <v>1427000</v>
      </c>
      <c r="N26" s="67">
        <f t="shared" si="3"/>
        <v>1427000</v>
      </c>
      <c r="O26" s="67"/>
      <c r="P26" s="30"/>
      <c r="Q26" s="30">
        <f t="shared" si="5"/>
        <v>17000000</v>
      </c>
      <c r="R26" s="30">
        <f>VLOOKUP(B26,'[1]Đi tàu'!$B$7:$F$119,5,FALSE)</f>
        <v>540000</v>
      </c>
      <c r="S26" s="34">
        <f>VLOOKUP(B26,[2]T3!$B$7:$F$116,5,FALSE)</f>
        <v>30000</v>
      </c>
      <c r="T26" s="30">
        <f>ROUND(100*$T$3,0)</f>
        <v>2615800</v>
      </c>
      <c r="U26" s="34"/>
      <c r="V26" s="67">
        <f t="shared" si="6"/>
        <v>13814200</v>
      </c>
      <c r="W26" s="101"/>
      <c r="X26" s="35"/>
      <c r="Y26" s="36"/>
    </row>
    <row r="27" spans="1:25" s="49" customFormat="1" ht="19.95" customHeight="1" x14ac:dyDescent="0.25">
      <c r="A27" s="42"/>
      <c r="B27" s="43"/>
      <c r="C27" s="44" t="s">
        <v>21</v>
      </c>
      <c r="D27" s="43"/>
      <c r="E27" s="45"/>
      <c r="F27" s="42">
        <f t="shared" ref="F27:V27" si="76">SUM(F6:F26)</f>
        <v>651</v>
      </c>
      <c r="G27" s="42">
        <f t="shared" si="76"/>
        <v>219375000</v>
      </c>
      <c r="H27" s="42">
        <f t="shared" si="76"/>
        <v>219375000</v>
      </c>
      <c r="I27" s="42">
        <f t="shared" si="76"/>
        <v>249750000</v>
      </c>
      <c r="J27" s="42">
        <f t="shared" si="76"/>
        <v>249750000</v>
      </c>
      <c r="K27" s="42">
        <f t="shared" si="76"/>
        <v>135000000</v>
      </c>
      <c r="L27" s="42">
        <f t="shared" si="76"/>
        <v>135000000</v>
      </c>
      <c r="M27" s="42">
        <f t="shared" si="76"/>
        <v>104165000</v>
      </c>
      <c r="N27" s="42">
        <f t="shared" si="76"/>
        <v>104165000</v>
      </c>
      <c r="O27" s="42">
        <f t="shared" si="76"/>
        <v>26000000</v>
      </c>
      <c r="P27" s="42">
        <f t="shared" si="76"/>
        <v>26000000</v>
      </c>
      <c r="Q27" s="42">
        <f t="shared" si="76"/>
        <v>734290000</v>
      </c>
      <c r="R27" s="42">
        <f t="shared" si="76"/>
        <v>15067500</v>
      </c>
      <c r="S27" s="42">
        <f t="shared" si="76"/>
        <v>722500</v>
      </c>
      <c r="T27" s="42">
        <f t="shared" si="76"/>
        <v>75858200</v>
      </c>
      <c r="U27" s="107">
        <f t="shared" si="76"/>
        <v>0</v>
      </c>
      <c r="V27" s="42">
        <f t="shared" si="76"/>
        <v>642641800</v>
      </c>
      <c r="W27" s="46"/>
      <c r="X27" s="47"/>
      <c r="Y27" s="48"/>
    </row>
    <row r="28" spans="1:25" s="57" customFormat="1" ht="14.25" customHeight="1" x14ac:dyDescent="0.25">
      <c r="A28" s="50"/>
      <c r="B28" s="51"/>
      <c r="C28" s="52"/>
      <c r="D28" s="53"/>
      <c r="E28" s="54"/>
      <c r="F28" s="53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6"/>
      <c r="S28" s="36"/>
      <c r="T28" s="36"/>
      <c r="U28" s="56"/>
    </row>
    <row r="29" spans="1:25" s="59" customFormat="1" ht="18" customHeight="1" x14ac:dyDescent="0.25">
      <c r="A29" s="58"/>
      <c r="B29" s="58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U29" s="61"/>
      <c r="W29" s="62" t="s">
        <v>452</v>
      </c>
    </row>
    <row r="30" spans="1:25" s="63" customFormat="1" ht="18" customHeight="1" x14ac:dyDescent="0.35">
      <c r="B30" s="63" t="s">
        <v>45</v>
      </c>
      <c r="E30" s="63" t="s">
        <v>46</v>
      </c>
      <c r="Q30" s="63" t="s">
        <v>47</v>
      </c>
      <c r="U30" s="63" t="s">
        <v>48</v>
      </c>
    </row>
    <row r="31" spans="1:25" s="2" customFormat="1" ht="13.2" x14ac:dyDescent="0.25">
      <c r="E31" s="65"/>
    </row>
    <row r="32" spans="1:25" s="2" customFormat="1" ht="13.2" x14ac:dyDescent="0.25">
      <c r="E32" s="65"/>
    </row>
    <row r="33" spans="5:5" s="2" customFormat="1" ht="13.2" x14ac:dyDescent="0.25">
      <c r="E33" s="65"/>
    </row>
    <row r="34" spans="5:5" s="2" customFormat="1" ht="13.2" x14ac:dyDescent="0.25">
      <c r="E34" s="65"/>
    </row>
    <row r="35" spans="5:5" s="2" customFormat="1" ht="13.2" x14ac:dyDescent="0.25">
      <c r="E35" s="65"/>
    </row>
    <row r="36" spans="5:5" s="2" customFormat="1" ht="13.2" x14ac:dyDescent="0.25">
      <c r="E36" s="65"/>
    </row>
    <row r="37" spans="5:5" s="2" customFormat="1" ht="13.2" x14ac:dyDescent="0.25">
      <c r="E37" s="65"/>
    </row>
    <row r="38" spans="5:5" s="2" customFormat="1" ht="13.2" x14ac:dyDescent="0.25">
      <c r="E38" s="65"/>
    </row>
    <row r="39" spans="5:5" s="2" customFormat="1" ht="13.2" x14ac:dyDescent="0.25">
      <c r="E39" s="65"/>
    </row>
    <row r="40" spans="5:5" s="2" customFormat="1" ht="13.2" x14ac:dyDescent="0.25">
      <c r="E40" s="65"/>
    </row>
    <row r="41" spans="5:5" s="2" customFormat="1" ht="13.2" x14ac:dyDescent="0.25">
      <c r="E41" s="65"/>
    </row>
    <row r="42" spans="5:5" s="2" customFormat="1" ht="13.2" x14ac:dyDescent="0.25">
      <c r="E42" s="65"/>
    </row>
    <row r="43" spans="5:5" s="2" customFormat="1" ht="13.2" x14ac:dyDescent="0.25">
      <c r="E43" s="65"/>
    </row>
    <row r="44" spans="5:5" s="2" customFormat="1" ht="13.2" x14ac:dyDescent="0.25">
      <c r="E44" s="65"/>
    </row>
    <row r="45" spans="5:5" s="2" customFormat="1" ht="13.2" x14ac:dyDescent="0.25">
      <c r="E45" s="65"/>
    </row>
    <row r="46" spans="5:5" s="2" customFormat="1" ht="13.2" x14ac:dyDescent="0.25">
      <c r="E46" s="65"/>
    </row>
    <row r="47" spans="5:5" s="2" customFormat="1" ht="13.2" x14ac:dyDescent="0.25">
      <c r="E47" s="65"/>
    </row>
    <row r="48" spans="5:5" s="2" customFormat="1" ht="13.2" x14ac:dyDescent="0.25">
      <c r="E48" s="65"/>
    </row>
    <row r="49" spans="5:5" s="2" customFormat="1" ht="13.2" x14ac:dyDescent="0.25">
      <c r="E49" s="65"/>
    </row>
    <row r="50" spans="5:5" s="2" customFormat="1" ht="13.2" x14ac:dyDescent="0.25">
      <c r="E50" s="65"/>
    </row>
    <row r="51" spans="5:5" s="2" customFormat="1" ht="13.2" x14ac:dyDescent="0.25">
      <c r="E51" s="65"/>
    </row>
    <row r="52" spans="5:5" s="2" customFormat="1" ht="13.2" x14ac:dyDescent="0.25">
      <c r="E52" s="65"/>
    </row>
    <row r="53" spans="5:5" s="2" customFormat="1" ht="13.2" x14ac:dyDescent="0.25">
      <c r="E53" s="65"/>
    </row>
    <row r="54" spans="5:5" s="2" customFormat="1" ht="13.2" x14ac:dyDescent="0.25">
      <c r="E54" s="65"/>
    </row>
    <row r="68" spans="5:5" s="2" customFormat="1" ht="13.2" x14ac:dyDescent="0.25">
      <c r="E68" s="65"/>
    </row>
    <row r="69" spans="5:5" s="2" customFormat="1" ht="13.2" x14ac:dyDescent="0.25">
      <c r="E69" s="65"/>
    </row>
    <row r="70" spans="5:5" s="2" customFormat="1" ht="13.2" x14ac:dyDescent="0.25">
      <c r="E70" s="65"/>
    </row>
    <row r="71" spans="5:5" s="2" customFormat="1" ht="13.2" x14ac:dyDescent="0.25">
      <c r="E71" s="65"/>
    </row>
    <row r="72" spans="5:5" s="2" customFormat="1" ht="13.2" x14ac:dyDescent="0.25">
      <c r="E72" s="65"/>
    </row>
    <row r="73" spans="5:5" s="2" customFormat="1" ht="13.2" x14ac:dyDescent="0.25">
      <c r="E73" s="65"/>
    </row>
    <row r="74" spans="5:5" s="2" customFormat="1" ht="13.2" x14ac:dyDescent="0.25">
      <c r="E74" s="65"/>
    </row>
    <row r="75" spans="5:5" s="2" customFormat="1" ht="13.2" x14ac:dyDescent="0.25">
      <c r="E75" s="65"/>
    </row>
    <row r="76" spans="5:5" s="2" customFormat="1" ht="13.2" x14ac:dyDescent="0.25">
      <c r="E76" s="65"/>
    </row>
    <row r="77" spans="5:5" s="2" customFormat="1" ht="13.2" x14ac:dyDescent="0.25">
      <c r="E77" s="65"/>
    </row>
    <row r="78" spans="5:5" s="2" customFormat="1" ht="13.2" x14ac:dyDescent="0.25">
      <c r="E78" s="65"/>
    </row>
    <row r="79" spans="5:5" s="2" customFormat="1" ht="13.2" x14ac:dyDescent="0.25">
      <c r="E79" s="65"/>
    </row>
    <row r="80" spans="5:5" s="2" customFormat="1" ht="13.2" x14ac:dyDescent="0.25">
      <c r="E80" s="65"/>
    </row>
    <row r="81" spans="5:5" s="2" customFormat="1" ht="13.2" x14ac:dyDescent="0.25">
      <c r="E81" s="65"/>
    </row>
    <row r="82" spans="5:5" s="2" customFormat="1" ht="13.2" x14ac:dyDescent="0.25">
      <c r="E82" s="65"/>
    </row>
    <row r="83" spans="5:5" s="2" customFormat="1" ht="13.2" x14ac:dyDescent="0.25">
      <c r="E83" s="65"/>
    </row>
    <row r="84" spans="5:5" s="2" customFormat="1" ht="13.2" x14ac:dyDescent="0.25">
      <c r="E84" s="65"/>
    </row>
    <row r="85" spans="5:5" s="2" customFormat="1" ht="13.2" x14ac:dyDescent="0.25">
      <c r="E85" s="65"/>
    </row>
    <row r="86" spans="5:5" s="2" customFormat="1" ht="13.2" x14ac:dyDescent="0.25">
      <c r="E86" s="65"/>
    </row>
    <row r="87" spans="5:5" s="2" customFormat="1" ht="13.2" x14ac:dyDescent="0.25">
      <c r="E87" s="65"/>
    </row>
    <row r="88" spans="5:5" s="2" customFormat="1" ht="13.2" x14ac:dyDescent="0.25">
      <c r="E88" s="65"/>
    </row>
    <row r="89" spans="5:5" s="2" customFormat="1" ht="13.2" x14ac:dyDescent="0.25">
      <c r="E89" s="65"/>
    </row>
    <row r="90" spans="5:5" s="2" customFormat="1" ht="13.2" x14ac:dyDescent="0.25">
      <c r="E90" s="65"/>
    </row>
    <row r="91" spans="5:5" s="2" customFormat="1" ht="13.2" x14ac:dyDescent="0.25">
      <c r="E91" s="65"/>
    </row>
    <row r="92" spans="5:5" s="2" customFormat="1" ht="13.2" x14ac:dyDescent="0.25">
      <c r="E92" s="65"/>
    </row>
    <row r="93" spans="5:5" s="2" customFormat="1" ht="13.2" x14ac:dyDescent="0.25">
      <c r="E93" s="65"/>
    </row>
    <row r="94" spans="5:5" s="2" customFormat="1" ht="13.2" x14ac:dyDescent="0.25">
      <c r="E94" s="65"/>
    </row>
    <row r="95" spans="5:5" s="2" customFormat="1" ht="13.2" x14ac:dyDescent="0.25">
      <c r="E95" s="65"/>
    </row>
    <row r="96" spans="5:5" s="2" customFormat="1" ht="13.2" x14ac:dyDescent="0.25">
      <c r="E96" s="65"/>
    </row>
    <row r="97" spans="5:5" s="2" customFormat="1" ht="13.2" x14ac:dyDescent="0.25">
      <c r="E97" s="65"/>
    </row>
    <row r="98" spans="5:5" s="2" customFormat="1" ht="13.2" x14ac:dyDescent="0.25">
      <c r="E98" s="65"/>
    </row>
    <row r="99" spans="5:5" s="2" customFormat="1" ht="13.2" x14ac:dyDescent="0.25">
      <c r="E99" s="65"/>
    </row>
    <row r="100" spans="5:5" s="2" customFormat="1" ht="13.2" x14ac:dyDescent="0.25">
      <c r="E100" s="65"/>
    </row>
    <row r="101" spans="5:5" s="2" customFormat="1" ht="13.2" x14ac:dyDescent="0.25">
      <c r="E101" s="65"/>
    </row>
    <row r="102" spans="5:5" s="2" customFormat="1" ht="13.2" x14ac:dyDescent="0.25">
      <c r="E102" s="65"/>
    </row>
    <row r="103" spans="5:5" s="2" customFormat="1" ht="13.2" x14ac:dyDescent="0.25">
      <c r="E103" s="65"/>
    </row>
    <row r="104" spans="5:5" s="2" customFormat="1" ht="13.2" x14ac:dyDescent="0.25">
      <c r="E104" s="65"/>
    </row>
    <row r="105" spans="5:5" s="2" customFormat="1" ht="13.2" x14ac:dyDescent="0.25">
      <c r="E105" s="65"/>
    </row>
    <row r="106" spans="5:5" s="2" customFormat="1" ht="13.2" x14ac:dyDescent="0.25">
      <c r="E106" s="65"/>
    </row>
    <row r="107" spans="5:5" s="2" customFormat="1" ht="13.2" x14ac:dyDescent="0.25">
      <c r="E107" s="65"/>
    </row>
    <row r="108" spans="5:5" s="2" customFormat="1" ht="13.2" x14ac:dyDescent="0.25">
      <c r="E108" s="65"/>
    </row>
    <row r="109" spans="5:5" s="2" customFormat="1" ht="13.2" x14ac:dyDescent="0.25">
      <c r="E109" s="65"/>
    </row>
    <row r="110" spans="5:5" s="2" customFormat="1" ht="13.2" x14ac:dyDescent="0.25">
      <c r="E110" s="65"/>
    </row>
  </sheetData>
  <mergeCells count="2">
    <mergeCell ref="A1:W1"/>
    <mergeCell ref="A2:W2"/>
  </mergeCells>
  <phoneticPr fontId="2" type="noConversion"/>
  <printOptions horizontalCentered="1"/>
  <pageMargins left="0" right="0" top="0.5" bottom="0.5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93F5-B7F5-4F7A-93C8-82E9DE96FD04}">
  <dimension ref="A1:AA139"/>
  <sheetViews>
    <sheetView workbookViewId="0">
      <selection activeCell="L13" sqref="L13"/>
    </sheetView>
  </sheetViews>
  <sheetFormatPr defaultColWidth="9.109375" defaultRowHeight="13.8" x14ac:dyDescent="0.25"/>
  <cols>
    <col min="1" max="1" width="3.6640625" style="1" customWidth="1"/>
    <col min="2" max="2" width="5.44140625" style="1" customWidth="1"/>
    <col min="3" max="3" width="16" style="1" customWidth="1"/>
    <col min="4" max="4" width="6.109375" style="1" customWidth="1"/>
    <col min="5" max="5" width="8.44140625" style="15" customWidth="1"/>
    <col min="6" max="6" width="6" style="1" customWidth="1"/>
    <col min="7" max="7" width="8.6640625" style="1" hidden="1" customWidth="1"/>
    <col min="8" max="8" width="9.88671875" style="1" customWidth="1"/>
    <col min="9" max="9" width="8.6640625" style="1" hidden="1" customWidth="1"/>
    <col min="10" max="10" width="9.88671875" style="1" customWidth="1"/>
    <col min="11" max="11" width="8.6640625" style="1" hidden="1" customWidth="1"/>
    <col min="12" max="12" width="11" style="1" customWidth="1"/>
    <col min="13" max="13" width="7.88671875" style="1" hidden="1" customWidth="1"/>
    <col min="14" max="17" width="8.6640625" style="1" hidden="1" customWidth="1"/>
    <col min="18" max="18" width="11.5546875" style="1" hidden="1" customWidth="1"/>
    <col min="19" max="19" width="10.6640625" style="1" customWidth="1"/>
    <col min="20" max="20" width="9.33203125" style="2" customWidth="1"/>
    <col min="21" max="21" width="8.5546875" style="2" customWidth="1"/>
    <col min="22" max="22" width="9.5546875" style="2" customWidth="1"/>
    <col min="23" max="23" width="6" style="1" customWidth="1"/>
    <col min="24" max="24" width="10.6640625" style="1" customWidth="1"/>
    <col min="25" max="25" width="10.5546875" style="1" customWidth="1"/>
    <col min="26" max="26" width="9.109375" style="1"/>
    <col min="27" max="27" width="10.33203125" style="1" bestFit="1" customWidth="1"/>
    <col min="28" max="16384" width="9.109375" style="1"/>
  </cols>
  <sheetData>
    <row r="1" spans="1:27" s="12" customFormat="1" ht="21" customHeight="1" x14ac:dyDescent="0.4">
      <c r="A1" s="167" t="s">
        <v>67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</row>
    <row r="2" spans="1:27" s="12" customFormat="1" ht="21" customHeight="1" x14ac:dyDescent="0.4">
      <c r="A2" s="167" t="s">
        <v>515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</row>
    <row r="3" spans="1:27" s="14" customFormat="1" ht="15.75" customHeight="1" x14ac:dyDescent="0.3">
      <c r="A3" s="11"/>
      <c r="B3" s="11"/>
      <c r="C3" s="13">
        <v>31</v>
      </c>
      <c r="E3" s="1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71"/>
      <c r="T3" s="72"/>
      <c r="V3" s="17">
        <v>26158</v>
      </c>
      <c r="Y3" s="18" t="s">
        <v>24</v>
      </c>
    </row>
    <row r="4" spans="1:27" s="24" customFormat="1" ht="15.75" customHeight="1" x14ac:dyDescent="0.25">
      <c r="A4" s="19" t="s">
        <v>0</v>
      </c>
      <c r="B4" s="19" t="s">
        <v>25</v>
      </c>
      <c r="C4" s="20" t="s">
        <v>26</v>
      </c>
      <c r="D4" s="20" t="s">
        <v>27</v>
      </c>
      <c r="E4" s="21" t="s">
        <v>28</v>
      </c>
      <c r="F4" s="19" t="s">
        <v>28</v>
      </c>
      <c r="G4" s="22"/>
      <c r="H4" s="19" t="s">
        <v>31</v>
      </c>
      <c r="I4" s="22"/>
      <c r="J4" s="19" t="s">
        <v>32</v>
      </c>
      <c r="K4" s="22"/>
      <c r="L4" s="19" t="s">
        <v>33</v>
      </c>
      <c r="M4" s="22"/>
      <c r="N4" s="19" t="s">
        <v>33</v>
      </c>
      <c r="O4" s="22"/>
      <c r="P4" s="19" t="s">
        <v>50</v>
      </c>
      <c r="Q4" s="22"/>
      <c r="R4" s="19" t="s">
        <v>71</v>
      </c>
      <c r="S4" s="19" t="s">
        <v>34</v>
      </c>
      <c r="T4" s="19" t="s">
        <v>64</v>
      </c>
      <c r="U4" s="23" t="s">
        <v>35</v>
      </c>
      <c r="V4" s="19" t="s">
        <v>36</v>
      </c>
      <c r="W4" s="19" t="s">
        <v>37</v>
      </c>
      <c r="X4" s="19" t="s">
        <v>51</v>
      </c>
      <c r="Y4" s="20" t="s">
        <v>1</v>
      </c>
    </row>
    <row r="5" spans="1:27" s="24" customFormat="1" ht="15.75" customHeight="1" x14ac:dyDescent="0.25">
      <c r="A5" s="25"/>
      <c r="B5" s="25"/>
      <c r="C5" s="26"/>
      <c r="D5" s="27" t="s">
        <v>2</v>
      </c>
      <c r="E5" s="28" t="s">
        <v>29</v>
      </c>
      <c r="F5" s="25" t="s">
        <v>30</v>
      </c>
      <c r="G5" s="112"/>
      <c r="H5" s="25" t="s">
        <v>20</v>
      </c>
      <c r="I5" s="113"/>
      <c r="J5" s="25" t="s">
        <v>38</v>
      </c>
      <c r="K5" s="113"/>
      <c r="L5" s="25" t="s">
        <v>39</v>
      </c>
      <c r="M5" s="113"/>
      <c r="N5" s="25" t="s">
        <v>40</v>
      </c>
      <c r="O5" s="113"/>
      <c r="P5" s="25" t="s">
        <v>70</v>
      </c>
      <c r="Q5" s="114"/>
      <c r="R5" s="25" t="s">
        <v>72</v>
      </c>
      <c r="S5" s="25" t="s">
        <v>41</v>
      </c>
      <c r="T5" s="25" t="s">
        <v>63</v>
      </c>
      <c r="U5" s="29"/>
      <c r="V5" s="25" t="s">
        <v>42</v>
      </c>
      <c r="W5" s="25"/>
      <c r="X5" s="25" t="s">
        <v>43</v>
      </c>
      <c r="Y5" s="27" t="s">
        <v>44</v>
      </c>
    </row>
    <row r="6" spans="1:27" s="37" customFormat="1" ht="16.5" customHeight="1" x14ac:dyDescent="0.25">
      <c r="A6" s="30">
        <v>1</v>
      </c>
      <c r="B6" s="31">
        <v>1003</v>
      </c>
      <c r="C6" s="32" t="s">
        <v>351</v>
      </c>
      <c r="D6" s="30" t="s">
        <v>3</v>
      </c>
      <c r="E6" s="33">
        <v>45919</v>
      </c>
      <c r="F6" s="30">
        <v>31</v>
      </c>
      <c r="G6" s="40">
        <v>24765000</v>
      </c>
      <c r="H6" s="40">
        <f>ROUND(G6*F6/$C$3,0)</f>
        <v>24765000</v>
      </c>
      <c r="I6" s="40">
        <v>28194000</v>
      </c>
      <c r="J6" s="40">
        <f>ROUND(I6*F6/$C$3,0)</f>
        <v>28194000</v>
      </c>
      <c r="K6" s="40">
        <v>15240000</v>
      </c>
      <c r="L6" s="40">
        <f>ROUND(K6*F6/$C$3,0)</f>
        <v>15240000</v>
      </c>
      <c r="M6" s="40">
        <v>6921000</v>
      </c>
      <c r="N6" s="40">
        <f>ROUND(M6*F6/$C$3,0)</f>
        <v>6921000</v>
      </c>
      <c r="O6" s="40">
        <v>14000000</v>
      </c>
      <c r="P6" s="40">
        <f>ROUND(O6*F6/$C$3,0)</f>
        <v>14000000</v>
      </c>
      <c r="Q6" s="40">
        <v>24880000</v>
      </c>
      <c r="R6" s="30">
        <f>ROUND(Q6*F6/$C$3,0)</f>
        <v>24880000</v>
      </c>
      <c r="S6" s="30">
        <f t="shared" ref="S6" si="0">ROUND(H6+J6+L6+N6+P6+R6,0)</f>
        <v>114000000</v>
      </c>
      <c r="T6" s="30">
        <f>VLOOKUP(B6,'[1]Đi tàu'!$B$7:$F$119,5,FALSE)</f>
        <v>1080000</v>
      </c>
      <c r="U6" s="34">
        <f>VLOOKUP(B6,[2]T3!$B$7:$F$116,5,FALSE)</f>
        <v>60000</v>
      </c>
      <c r="V6" s="30">
        <f>ROUND(200*$V$3,0)</f>
        <v>5231600</v>
      </c>
      <c r="W6" s="34"/>
      <c r="X6" s="30">
        <f>S6-T6-U6-V6-W6</f>
        <v>107628400</v>
      </c>
      <c r="Y6" s="115"/>
      <c r="Z6" s="35"/>
      <c r="AA6" s="35">
        <f>V6/26158</f>
        <v>200</v>
      </c>
    </row>
    <row r="7" spans="1:27" s="37" customFormat="1" ht="16.5" customHeight="1" x14ac:dyDescent="0.25">
      <c r="A7" s="67">
        <v>2</v>
      </c>
      <c r="B7" s="68">
        <v>1857</v>
      </c>
      <c r="C7" s="69" t="s">
        <v>352</v>
      </c>
      <c r="D7" s="67" t="s">
        <v>16</v>
      </c>
      <c r="E7" s="73">
        <v>45919</v>
      </c>
      <c r="F7" s="30">
        <v>31</v>
      </c>
      <c r="G7" s="67">
        <v>19110000</v>
      </c>
      <c r="H7" s="30">
        <f t="shared" ref="H7" si="1">ROUND(G7*F7/$C$3,0)</f>
        <v>19110000</v>
      </c>
      <c r="I7" s="67">
        <v>21756000</v>
      </c>
      <c r="J7" s="30">
        <f t="shared" ref="J7" si="2">ROUND(I7*F7/$C$3,0)</f>
        <v>21756000</v>
      </c>
      <c r="K7" s="67">
        <v>11760000</v>
      </c>
      <c r="L7" s="30">
        <f t="shared" ref="L7" si="3">ROUND(K7*F7/$C$3,0)</f>
        <v>11760000</v>
      </c>
      <c r="M7" s="67">
        <v>7004000</v>
      </c>
      <c r="N7" s="30">
        <f t="shared" ref="N7" si="4">ROUND(M7*F7/$C$3,0)</f>
        <v>7004000</v>
      </c>
      <c r="O7" s="67"/>
      <c r="P7" s="30">
        <f t="shared" ref="P7" si="5">ROUND(O7*F7/$C$3,0)</f>
        <v>0</v>
      </c>
      <c r="Q7" s="67">
        <v>16670000</v>
      </c>
      <c r="R7" s="30">
        <f t="shared" ref="R7" si="6">ROUND(Q7*F7/$C$3,0)</f>
        <v>16670000</v>
      </c>
      <c r="S7" s="30">
        <f t="shared" ref="S7" si="7">ROUND(H7+J7+L7+N7+P7+R7,0)</f>
        <v>76300000</v>
      </c>
      <c r="T7" s="30">
        <f>VLOOKUP(B7,'[1]Đi tàu'!$B$7:$F$119,5,FALSE)</f>
        <v>810000</v>
      </c>
      <c r="U7" s="34">
        <f>VLOOKUP(B7,[2]T3!$B$7:$F$116,5,FALSE)</f>
        <v>45000</v>
      </c>
      <c r="V7" s="30">
        <f t="shared" ref="V7:V13" si="8">ROUND(200*$V$3,0)</f>
        <v>5231600</v>
      </c>
      <c r="W7" s="34"/>
      <c r="X7" s="30">
        <f t="shared" ref="X7" si="9">S7-T7-U7-V7-W7</f>
        <v>70213400</v>
      </c>
      <c r="Y7" s="116"/>
      <c r="Z7" s="35"/>
      <c r="AA7" s="35">
        <f t="shared" ref="AA7:AA24" si="10">V7/26158</f>
        <v>200</v>
      </c>
    </row>
    <row r="8" spans="1:27" s="37" customFormat="1" ht="16.5" customHeight="1" x14ac:dyDescent="0.25">
      <c r="A8" s="30">
        <v>3</v>
      </c>
      <c r="B8" s="31">
        <v>3006</v>
      </c>
      <c r="C8" s="32" t="s">
        <v>242</v>
      </c>
      <c r="D8" s="30" t="s">
        <v>4</v>
      </c>
      <c r="E8" s="33">
        <v>45885</v>
      </c>
      <c r="F8" s="30">
        <v>31</v>
      </c>
      <c r="G8" s="30">
        <v>11895000</v>
      </c>
      <c r="H8" s="30">
        <f t="shared" ref="H8" si="11">ROUND(G8*F8/$C$3,0)</f>
        <v>11895000</v>
      </c>
      <c r="I8" s="30">
        <v>13542000</v>
      </c>
      <c r="J8" s="30">
        <f t="shared" ref="J8" si="12">ROUND(I8*F8/$C$3,0)</f>
        <v>13542000</v>
      </c>
      <c r="K8" s="30">
        <v>7320000</v>
      </c>
      <c r="L8" s="30">
        <f t="shared" ref="L8" si="13">ROUND(K8*F8/$C$3,0)</f>
        <v>7320000</v>
      </c>
      <c r="M8" s="30">
        <v>6323000</v>
      </c>
      <c r="N8" s="30">
        <f t="shared" ref="N8" si="14">ROUND(M8*F8/$C$3,0)</f>
        <v>6323000</v>
      </c>
      <c r="O8" s="30"/>
      <c r="P8" s="30">
        <f t="shared" ref="P8" si="15">ROUND(O8*F8/$C$3,0)</f>
        <v>0</v>
      </c>
      <c r="Q8" s="30">
        <v>10920000</v>
      </c>
      <c r="R8" s="30">
        <f t="shared" ref="R8" si="16">ROUND(Q8*F8/$C$3,0)</f>
        <v>10920000</v>
      </c>
      <c r="S8" s="30">
        <f t="shared" ref="S8" si="17">ROUND(H8+J8+L8+N8+P8+R8,0)</f>
        <v>50000000</v>
      </c>
      <c r="T8" s="30">
        <f>VLOOKUP(B8,'[1]Đi tàu'!$B$7:$F$119,5,FALSE)</f>
        <v>720000</v>
      </c>
      <c r="U8" s="34">
        <f>VLOOKUP(B8,[2]T3!$B$7:$F$116,5,FALSE)</f>
        <v>40000</v>
      </c>
      <c r="V8" s="30">
        <f t="shared" si="8"/>
        <v>5231600</v>
      </c>
      <c r="W8" s="34"/>
      <c r="X8" s="30">
        <f t="shared" ref="X8" si="18">S8-T8-U8-V8-W8</f>
        <v>44008400</v>
      </c>
      <c r="Y8" s="115" t="s">
        <v>470</v>
      </c>
      <c r="Z8" s="35"/>
      <c r="AA8" s="35">
        <f t="shared" si="10"/>
        <v>200</v>
      </c>
    </row>
    <row r="9" spans="1:27" s="37" customFormat="1" ht="16.5" customHeight="1" x14ac:dyDescent="0.25">
      <c r="A9" s="67">
        <v>4</v>
      </c>
      <c r="B9" s="31">
        <v>1853</v>
      </c>
      <c r="C9" s="32" t="s">
        <v>358</v>
      </c>
      <c r="D9" s="30" t="s">
        <v>5</v>
      </c>
      <c r="E9" s="33">
        <v>45919</v>
      </c>
      <c r="F9" s="30">
        <v>31</v>
      </c>
      <c r="G9" s="30">
        <v>10725000</v>
      </c>
      <c r="H9" s="30">
        <f t="shared" ref="H9" si="19">ROUND(G9*F9/$C$3,0)</f>
        <v>10725000</v>
      </c>
      <c r="I9" s="30">
        <v>12210000</v>
      </c>
      <c r="J9" s="30">
        <f t="shared" ref="J9" si="20">ROUND(I9*F9/$C$3,0)</f>
        <v>12210000</v>
      </c>
      <c r="K9" s="30">
        <v>6600000</v>
      </c>
      <c r="L9" s="30">
        <f t="shared" ref="L9" si="21">ROUND(K9*F9/$C$3,0)</f>
        <v>6600000</v>
      </c>
      <c r="M9" s="30">
        <v>6035000</v>
      </c>
      <c r="N9" s="30">
        <f t="shared" ref="N9" si="22">ROUND(M9*F9/$C$3,0)</f>
        <v>6035000</v>
      </c>
      <c r="O9" s="30"/>
      <c r="P9" s="30">
        <f t="shared" ref="P9" si="23">ROUND(O9*F9/$C$3,0)</f>
        <v>0</v>
      </c>
      <c r="Q9" s="30">
        <v>9930000</v>
      </c>
      <c r="R9" s="30">
        <f t="shared" ref="R9" si="24">ROUND(Q9*F9/$C$3,0)</f>
        <v>9930000</v>
      </c>
      <c r="S9" s="30">
        <f t="shared" ref="S9" si="25">ROUND(H9+J9+L9+N9+P9+R9,0)</f>
        <v>45500000</v>
      </c>
      <c r="T9" s="30">
        <f>VLOOKUP(B9,'[1]Đi tàu'!$B$7:$F$119,5,FALSE)</f>
        <v>675000</v>
      </c>
      <c r="U9" s="34">
        <f>VLOOKUP(B9,[2]T3!$B$7:$F$116,5,FALSE)</f>
        <v>37500</v>
      </c>
      <c r="V9" s="30">
        <f t="shared" si="8"/>
        <v>5231600</v>
      </c>
      <c r="W9" s="34"/>
      <c r="X9" s="30">
        <f t="shared" ref="X9" si="26">S9-T9-U9-V9-W9</f>
        <v>39555900</v>
      </c>
      <c r="Y9" s="115" t="s">
        <v>470</v>
      </c>
      <c r="Z9" s="35"/>
      <c r="AA9" s="35">
        <f t="shared" si="10"/>
        <v>200</v>
      </c>
    </row>
    <row r="10" spans="1:27" s="37" customFormat="1" ht="16.5" customHeight="1" x14ac:dyDescent="0.25">
      <c r="A10" s="30">
        <v>5</v>
      </c>
      <c r="B10" s="31">
        <v>744</v>
      </c>
      <c r="C10" s="32" t="s">
        <v>353</v>
      </c>
      <c r="D10" s="30" t="s">
        <v>6</v>
      </c>
      <c r="E10" s="33">
        <v>45919</v>
      </c>
      <c r="F10" s="30">
        <v>31</v>
      </c>
      <c r="G10" s="30">
        <v>22620000</v>
      </c>
      <c r="H10" s="30">
        <f t="shared" ref="H10" si="27">ROUND(G10*F10/$C$3,0)</f>
        <v>22620000</v>
      </c>
      <c r="I10" s="30">
        <v>25752000</v>
      </c>
      <c r="J10" s="30">
        <f t="shared" ref="J10" si="28">ROUND(I10*F10/$C$3,0)</f>
        <v>25752000</v>
      </c>
      <c r="K10" s="30">
        <v>13920000</v>
      </c>
      <c r="L10" s="30">
        <f t="shared" ref="L10" si="29">ROUND(K10*F10/$C$3,0)</f>
        <v>13920000</v>
      </c>
      <c r="M10" s="30">
        <v>4318000</v>
      </c>
      <c r="N10" s="30">
        <f t="shared" ref="N10" si="30">ROUND(M10*F10/$C$3,0)</f>
        <v>4318000</v>
      </c>
      <c r="O10" s="30">
        <v>12000000</v>
      </c>
      <c r="P10" s="30">
        <f t="shared" ref="P10" si="31">ROUND(O10*F10/$C$3,0)</f>
        <v>12000000</v>
      </c>
      <c r="Q10" s="30">
        <v>21990000</v>
      </c>
      <c r="R10" s="30">
        <f t="shared" ref="R10" si="32">ROUND(Q10*F10/$C$3,0)</f>
        <v>21990000</v>
      </c>
      <c r="S10" s="30">
        <f t="shared" ref="S10" si="33">ROUND(H10+J10+L10+N10+P10+R10,0)</f>
        <v>100600000</v>
      </c>
      <c r="T10" s="30">
        <f>VLOOKUP(B10,'[1]Đi tàu'!$B$7:$F$119,5,FALSE)</f>
        <v>1035000</v>
      </c>
      <c r="U10" s="34">
        <f>VLOOKUP(B10,[2]T3!$B$7:$F$116,5,FALSE)</f>
        <v>57500</v>
      </c>
      <c r="V10" s="30">
        <f t="shared" si="8"/>
        <v>5231600</v>
      </c>
      <c r="W10" s="34"/>
      <c r="X10" s="30">
        <f t="shared" ref="X10" si="34">S10-T10-U10-V10-W10</f>
        <v>94275900</v>
      </c>
      <c r="Y10" s="115"/>
      <c r="Z10" s="35"/>
      <c r="AA10" s="35">
        <f t="shared" si="10"/>
        <v>200</v>
      </c>
    </row>
    <row r="11" spans="1:27" s="37" customFormat="1" ht="16.5" customHeight="1" x14ac:dyDescent="0.25">
      <c r="A11" s="67">
        <v>6</v>
      </c>
      <c r="B11" s="31">
        <v>1565</v>
      </c>
      <c r="C11" s="32" t="s">
        <v>243</v>
      </c>
      <c r="D11" s="30" t="s">
        <v>17</v>
      </c>
      <c r="E11" s="33">
        <v>45885</v>
      </c>
      <c r="F11" s="30">
        <v>31</v>
      </c>
      <c r="G11" s="30">
        <v>19110000</v>
      </c>
      <c r="H11" s="30">
        <f t="shared" ref="H11" si="35">ROUND(G11*F11/$C$3,0)</f>
        <v>19110000</v>
      </c>
      <c r="I11" s="30">
        <v>21756000</v>
      </c>
      <c r="J11" s="30">
        <f t="shared" ref="J11" si="36">ROUND(I11*F11/$C$3,0)</f>
        <v>21756000</v>
      </c>
      <c r="K11" s="30">
        <v>11760000</v>
      </c>
      <c r="L11" s="30">
        <f t="shared" ref="L11" si="37">ROUND(K11*F11/$C$3,0)</f>
        <v>11760000</v>
      </c>
      <c r="M11" s="30">
        <v>7004000</v>
      </c>
      <c r="N11" s="30">
        <f t="shared" ref="N11" si="38">ROUND(M11*F11/$C$3,0)</f>
        <v>7004000</v>
      </c>
      <c r="O11" s="30"/>
      <c r="P11" s="30">
        <f t="shared" ref="P11" si="39">ROUND(O11*F11/$C$3,0)</f>
        <v>0</v>
      </c>
      <c r="Q11" s="30">
        <v>16670000</v>
      </c>
      <c r="R11" s="30">
        <f t="shared" ref="R11" si="40">ROUND(Q11*F11/$C$3,0)</f>
        <v>16670000</v>
      </c>
      <c r="S11" s="30">
        <f t="shared" ref="S11" si="41">ROUND(H11+J11+L11+N11+P11+R11,0)</f>
        <v>76300000</v>
      </c>
      <c r="T11" s="30">
        <f>VLOOKUP(B11,'[1]Đi tàu'!$B$7:$F$119,5,FALSE)</f>
        <v>810000</v>
      </c>
      <c r="U11" s="34">
        <f>VLOOKUP(B11,[2]T3!$B$7:$F$116,5,FALSE)</f>
        <v>45000</v>
      </c>
      <c r="V11" s="30">
        <f t="shared" si="8"/>
        <v>5231600</v>
      </c>
      <c r="W11" s="34"/>
      <c r="X11" s="30">
        <f t="shared" ref="X11" si="42">S11-T11-U11-V11-W11</f>
        <v>70213400</v>
      </c>
      <c r="Y11" s="115"/>
      <c r="Z11" s="35"/>
      <c r="AA11" s="35">
        <f t="shared" si="10"/>
        <v>200</v>
      </c>
    </row>
    <row r="12" spans="1:27" s="37" customFormat="1" ht="16.5" customHeight="1" x14ac:dyDescent="0.25">
      <c r="A12" s="30">
        <v>7</v>
      </c>
      <c r="B12" s="31">
        <v>2920</v>
      </c>
      <c r="C12" s="32" t="s">
        <v>354</v>
      </c>
      <c r="D12" s="30" t="s">
        <v>7</v>
      </c>
      <c r="E12" s="33">
        <v>45919</v>
      </c>
      <c r="F12" s="30">
        <v>31</v>
      </c>
      <c r="G12" s="30">
        <v>11895000</v>
      </c>
      <c r="H12" s="30">
        <f t="shared" ref="H12" si="43">ROUND(G12*F12/$C$3,0)</f>
        <v>11895000</v>
      </c>
      <c r="I12" s="30">
        <v>13542000</v>
      </c>
      <c r="J12" s="30">
        <f t="shared" ref="J12" si="44">ROUND(I12*F12/$C$3,0)</f>
        <v>13542000</v>
      </c>
      <c r="K12" s="30">
        <v>7320000</v>
      </c>
      <c r="L12" s="30">
        <f t="shared" ref="L12" si="45">ROUND(K12*F12/$C$3,0)</f>
        <v>7320000</v>
      </c>
      <c r="M12" s="30">
        <v>6323000</v>
      </c>
      <c r="N12" s="30">
        <f t="shared" ref="N12" si="46">ROUND(M12*F12/$C$3,0)</f>
        <v>6323000</v>
      </c>
      <c r="O12" s="30"/>
      <c r="P12" s="30">
        <f t="shared" ref="P12" si="47">ROUND(O12*F12/$C$3,0)</f>
        <v>0</v>
      </c>
      <c r="Q12" s="30">
        <v>10920000</v>
      </c>
      <c r="R12" s="30">
        <f t="shared" ref="R12" si="48">ROUND(Q12*F12/$C$3,0)</f>
        <v>10920000</v>
      </c>
      <c r="S12" s="30">
        <f t="shared" ref="S12" si="49">ROUND(H12+J12+L12+N12+P12+R12,0)</f>
        <v>50000000</v>
      </c>
      <c r="T12" s="30">
        <f>VLOOKUP(B12,'[1]Đi tàu'!$B$7:$F$119,5,FALSE)</f>
        <v>720000</v>
      </c>
      <c r="U12" s="34">
        <f>VLOOKUP(B12,[2]T3!$B$7:$F$116,5,FALSE)</f>
        <v>40000</v>
      </c>
      <c r="V12" s="30">
        <f t="shared" si="8"/>
        <v>5231600</v>
      </c>
      <c r="W12" s="34"/>
      <c r="X12" s="30">
        <f t="shared" ref="X12" si="50">S12-T12-U12-V12-W12</f>
        <v>44008400</v>
      </c>
      <c r="Y12" s="115"/>
      <c r="Z12" s="35"/>
      <c r="AA12" s="35">
        <f t="shared" si="10"/>
        <v>200</v>
      </c>
    </row>
    <row r="13" spans="1:27" s="37" customFormat="1" ht="16.5" customHeight="1" x14ac:dyDescent="0.25">
      <c r="A13" s="67">
        <v>8</v>
      </c>
      <c r="B13" s="31">
        <v>2690</v>
      </c>
      <c r="C13" s="32" t="s">
        <v>244</v>
      </c>
      <c r="D13" s="30" t="s">
        <v>8</v>
      </c>
      <c r="E13" s="33">
        <v>45885</v>
      </c>
      <c r="F13" s="30">
        <v>31</v>
      </c>
      <c r="G13" s="30">
        <v>10725000</v>
      </c>
      <c r="H13" s="30">
        <f t="shared" ref="H13" si="51">ROUND(G13*F13/$C$3,0)</f>
        <v>10725000</v>
      </c>
      <c r="I13" s="30">
        <v>12210000</v>
      </c>
      <c r="J13" s="30">
        <f t="shared" ref="J13:J24" si="52">ROUND(I13*F13/$C$3,0)</f>
        <v>12210000</v>
      </c>
      <c r="K13" s="30">
        <v>6600000</v>
      </c>
      <c r="L13" s="30">
        <f t="shared" ref="L13:L24" si="53">ROUND(K13*F13/$C$3,0)</f>
        <v>6600000</v>
      </c>
      <c r="M13" s="30">
        <v>6035000</v>
      </c>
      <c r="N13" s="30">
        <f t="shared" ref="N13:N24" si="54">ROUND(M13*F13/$C$3,0)</f>
        <v>6035000</v>
      </c>
      <c r="O13" s="30"/>
      <c r="P13" s="30">
        <f t="shared" ref="P13:P24" si="55">ROUND(O13*F13/$C$3,0)</f>
        <v>0</v>
      </c>
      <c r="Q13" s="30">
        <v>9930000</v>
      </c>
      <c r="R13" s="30">
        <f t="shared" ref="R13:R24" si="56">ROUND(Q13*F13/$C$3,0)</f>
        <v>9930000</v>
      </c>
      <c r="S13" s="30">
        <f t="shared" ref="S13:S24" si="57">ROUND(H13+J13+L13+N13+P13+R13,0)</f>
        <v>45500000</v>
      </c>
      <c r="T13" s="30">
        <f>VLOOKUP(B13,'[1]Đi tàu'!$B$7:$F$119,5,FALSE)</f>
        <v>675000</v>
      </c>
      <c r="U13" s="34">
        <f>VLOOKUP(B13,[2]T3!$B$7:$F$116,5,FALSE)</f>
        <v>37500</v>
      </c>
      <c r="V13" s="30">
        <f t="shared" si="8"/>
        <v>5231600</v>
      </c>
      <c r="W13" s="34"/>
      <c r="X13" s="30">
        <f>S13-T13-U13-V13-W13</f>
        <v>39555900</v>
      </c>
      <c r="Y13" s="115"/>
      <c r="Z13" s="35"/>
      <c r="AA13" s="35">
        <f t="shared" si="10"/>
        <v>200</v>
      </c>
    </row>
    <row r="14" spans="1:27" s="37" customFormat="1" ht="16.5" customHeight="1" x14ac:dyDescent="0.25">
      <c r="A14" s="30">
        <v>9</v>
      </c>
      <c r="B14" s="31">
        <v>1440</v>
      </c>
      <c r="C14" s="32" t="s">
        <v>355</v>
      </c>
      <c r="D14" s="30" t="s">
        <v>9</v>
      </c>
      <c r="E14" s="33">
        <v>45919</v>
      </c>
      <c r="F14" s="30">
        <v>31</v>
      </c>
      <c r="G14" s="30">
        <v>8385000</v>
      </c>
      <c r="H14" s="30">
        <f t="shared" ref="H14" si="58">ROUND(G14*F14/$C$3,0)</f>
        <v>8385000</v>
      </c>
      <c r="I14" s="30">
        <v>9546000</v>
      </c>
      <c r="J14" s="30">
        <f t="shared" ref="J14" si="59">ROUND(I14*F14/$C$3,0)</f>
        <v>9546000</v>
      </c>
      <c r="K14" s="30">
        <v>5160000</v>
      </c>
      <c r="L14" s="30">
        <f t="shared" ref="L14" si="60">ROUND(K14*F14/$C$3,0)</f>
        <v>5160000</v>
      </c>
      <c r="M14" s="30">
        <v>4909000</v>
      </c>
      <c r="N14" s="30">
        <f t="shared" ref="N14" si="61">ROUND(M14*F14/$C$3,0)</f>
        <v>4909000</v>
      </c>
      <c r="O14" s="30"/>
      <c r="P14" s="30">
        <f t="shared" ref="P14" si="62">ROUND(O14*F14/$C$3,0)</f>
        <v>0</v>
      </c>
      <c r="Q14" s="30">
        <v>7000000</v>
      </c>
      <c r="R14" s="30">
        <f t="shared" ref="R14" si="63">ROUND(Q14*F14/$C$3,0)</f>
        <v>7000000</v>
      </c>
      <c r="S14" s="30">
        <f t="shared" ref="S14" si="64">ROUND(H14+J14+L14+N14+P14+R14,0)</f>
        <v>35000000</v>
      </c>
      <c r="T14" s="30">
        <f>VLOOKUP(B14,'[1]Đi tàu'!$B$7:$F$119,5,FALSE)</f>
        <v>585000</v>
      </c>
      <c r="U14" s="34">
        <f>VLOOKUP(B14,[2]T3!$B$7:$F$116,5,FALSE)</f>
        <v>32500</v>
      </c>
      <c r="V14" s="30">
        <f>ROUND(100*$V$3,0)</f>
        <v>2615800</v>
      </c>
      <c r="W14" s="34"/>
      <c r="X14" s="30">
        <f t="shared" ref="X14" si="65">S14-T14-U14-V14-W14</f>
        <v>31766700</v>
      </c>
      <c r="Y14" s="115"/>
      <c r="Z14" s="35"/>
      <c r="AA14" s="35">
        <f t="shared" si="10"/>
        <v>100</v>
      </c>
    </row>
    <row r="15" spans="1:27" s="37" customFormat="1" ht="16.5" customHeight="1" x14ac:dyDescent="0.25">
      <c r="A15" s="67">
        <v>10</v>
      </c>
      <c r="B15" s="31">
        <v>2782</v>
      </c>
      <c r="C15" s="32" t="s">
        <v>356</v>
      </c>
      <c r="D15" s="30" t="s">
        <v>10</v>
      </c>
      <c r="E15" s="33">
        <v>45919</v>
      </c>
      <c r="F15" s="30">
        <v>31</v>
      </c>
      <c r="G15" s="30">
        <v>6630000</v>
      </c>
      <c r="H15" s="30">
        <f t="shared" ref="H15" si="66">ROUND(G15*F15/$C$3,0)</f>
        <v>6630000</v>
      </c>
      <c r="I15" s="30">
        <v>7548000</v>
      </c>
      <c r="J15" s="30">
        <f t="shared" ref="J15" si="67">ROUND(I15*F15/$C$3,0)</f>
        <v>7548000</v>
      </c>
      <c r="K15" s="30">
        <v>4080000</v>
      </c>
      <c r="L15" s="30">
        <f t="shared" ref="L15" si="68">ROUND(K15*F15/$C$3,0)</f>
        <v>4080000</v>
      </c>
      <c r="M15" s="30">
        <v>4742000</v>
      </c>
      <c r="N15" s="30">
        <f t="shared" ref="N15" si="69">ROUND(M15*F15/$C$3,0)</f>
        <v>4742000</v>
      </c>
      <c r="O15" s="30"/>
      <c r="P15" s="30">
        <f t="shared" ref="P15" si="70">ROUND(O15*F15/$C$3,0)</f>
        <v>0</v>
      </c>
      <c r="Q15" s="30">
        <v>4700000</v>
      </c>
      <c r="R15" s="30">
        <f t="shared" ref="R15" si="71">ROUND(Q15*F15/$C$3,0)</f>
        <v>4700000</v>
      </c>
      <c r="S15" s="30">
        <f t="shared" ref="S15" si="72">ROUND(H15+J15+L15+N15+P15+R15,0)</f>
        <v>27700000</v>
      </c>
      <c r="T15" s="30">
        <f>VLOOKUP(B15,'[1]Đi tàu'!$B$7:$F$119,5,FALSE)</f>
        <v>540000</v>
      </c>
      <c r="U15" s="34">
        <f>VLOOKUP(B15,[2]T3!$B$7:$F$116,5,FALSE)</f>
        <v>30000</v>
      </c>
      <c r="V15" s="30">
        <f t="shared" ref="V15:V24" si="73">ROUND(100*$V$3,0)</f>
        <v>2615800</v>
      </c>
      <c r="W15" s="34"/>
      <c r="X15" s="30">
        <f t="shared" ref="X15" si="74">S15-T15-U15-V15-W15</f>
        <v>24514200</v>
      </c>
      <c r="Y15" s="115"/>
      <c r="Z15" s="35"/>
      <c r="AA15" s="35">
        <f t="shared" si="10"/>
        <v>100</v>
      </c>
    </row>
    <row r="16" spans="1:27" s="37" customFormat="1" ht="16.5" customHeight="1" x14ac:dyDescent="0.25">
      <c r="A16" s="30">
        <v>11</v>
      </c>
      <c r="B16" s="31">
        <v>2872</v>
      </c>
      <c r="C16" s="32" t="s">
        <v>357</v>
      </c>
      <c r="D16" s="30" t="s">
        <v>10</v>
      </c>
      <c r="E16" s="33">
        <v>45919</v>
      </c>
      <c r="F16" s="30">
        <v>31</v>
      </c>
      <c r="G16" s="30">
        <v>6630000</v>
      </c>
      <c r="H16" s="30">
        <f t="shared" ref="H16" si="75">ROUND(G16*F16/$C$3,0)</f>
        <v>6630000</v>
      </c>
      <c r="I16" s="30">
        <v>7548000</v>
      </c>
      <c r="J16" s="30">
        <f t="shared" ref="J16" si="76">ROUND(I16*F16/$C$3,0)</f>
        <v>7548000</v>
      </c>
      <c r="K16" s="30">
        <v>4080000</v>
      </c>
      <c r="L16" s="30">
        <f t="shared" ref="L16" si="77">ROUND(K16*F16/$C$3,0)</f>
        <v>4080000</v>
      </c>
      <c r="M16" s="30">
        <v>4742000</v>
      </c>
      <c r="N16" s="30">
        <f t="shared" ref="N16" si="78">ROUND(M16*F16/$C$3,0)</f>
        <v>4742000</v>
      </c>
      <c r="O16" s="30"/>
      <c r="P16" s="30">
        <f t="shared" ref="P16" si="79">ROUND(O16*F16/$C$3,0)</f>
        <v>0</v>
      </c>
      <c r="Q16" s="30">
        <v>4700000</v>
      </c>
      <c r="R16" s="30">
        <f t="shared" ref="R16" si="80">ROUND(Q16*F16/$C$3,0)</f>
        <v>4700000</v>
      </c>
      <c r="S16" s="30">
        <f t="shared" ref="S16" si="81">ROUND(H16+J16+L16+N16+P16+R16,0)</f>
        <v>27700000</v>
      </c>
      <c r="T16" s="30">
        <f>VLOOKUP(B16,'[1]Đi tàu'!$B$7:$F$119,5,FALSE)</f>
        <v>540000</v>
      </c>
      <c r="U16" s="34">
        <f>VLOOKUP(B16,[2]T3!$B$7:$F$116,5,FALSE)</f>
        <v>30000</v>
      </c>
      <c r="V16" s="30">
        <f t="shared" si="73"/>
        <v>2615800</v>
      </c>
      <c r="W16" s="34"/>
      <c r="X16" s="30">
        <f t="shared" ref="X16" si="82">S16-T16-U16-V16-W16</f>
        <v>24514200</v>
      </c>
      <c r="Y16" s="115"/>
      <c r="Z16" s="35"/>
      <c r="AA16" s="35">
        <f t="shared" si="10"/>
        <v>100</v>
      </c>
    </row>
    <row r="17" spans="1:27" s="37" customFormat="1" ht="16.5" customHeight="1" x14ac:dyDescent="0.25">
      <c r="A17" s="67">
        <v>12</v>
      </c>
      <c r="B17" s="31">
        <v>2538</v>
      </c>
      <c r="C17" s="32" t="s">
        <v>360</v>
      </c>
      <c r="D17" s="30" t="s">
        <v>10</v>
      </c>
      <c r="E17" s="33">
        <v>45919</v>
      </c>
      <c r="F17" s="30">
        <v>31</v>
      </c>
      <c r="G17" s="30">
        <v>6630000</v>
      </c>
      <c r="H17" s="30">
        <f t="shared" ref="H17" si="83">ROUND(G17*F17/$C$3,0)</f>
        <v>6630000</v>
      </c>
      <c r="I17" s="30">
        <v>7548000</v>
      </c>
      <c r="J17" s="30">
        <f t="shared" ref="J17" si="84">ROUND(I17*F17/$C$3,0)</f>
        <v>7548000</v>
      </c>
      <c r="K17" s="30">
        <v>4080000</v>
      </c>
      <c r="L17" s="30">
        <f t="shared" ref="L17" si="85">ROUND(K17*F17/$C$3,0)</f>
        <v>4080000</v>
      </c>
      <c r="M17" s="30">
        <v>4742000</v>
      </c>
      <c r="N17" s="30">
        <f t="shared" ref="N17" si="86">ROUND(M17*F17/$C$3,0)</f>
        <v>4742000</v>
      </c>
      <c r="O17" s="30"/>
      <c r="P17" s="30">
        <f t="shared" ref="P17" si="87">ROUND(O17*F17/$C$3,0)</f>
        <v>0</v>
      </c>
      <c r="Q17" s="30">
        <v>4700000</v>
      </c>
      <c r="R17" s="30">
        <f t="shared" ref="R17" si="88">ROUND(Q17*F17/$C$3,0)</f>
        <v>4700000</v>
      </c>
      <c r="S17" s="30">
        <f t="shared" ref="S17" si="89">ROUND(H17+J17+L17+N17+P17+R17,0)</f>
        <v>27700000</v>
      </c>
      <c r="T17" s="30">
        <f>VLOOKUP(B17,'[1]Đi tàu'!$B$7:$F$119,5,FALSE)</f>
        <v>540000</v>
      </c>
      <c r="U17" s="34">
        <f>VLOOKUP(B17,[2]T3!$B$7:$F$116,5,FALSE)</f>
        <v>30000</v>
      </c>
      <c r="V17" s="30">
        <f t="shared" si="73"/>
        <v>2615800</v>
      </c>
      <c r="W17" s="34"/>
      <c r="X17" s="30">
        <f t="shared" ref="X17" si="90">S17-T17-U17-V17-W17</f>
        <v>24514200</v>
      </c>
      <c r="Y17" s="115" t="s">
        <v>470</v>
      </c>
      <c r="Z17" s="35"/>
      <c r="AA17" s="35">
        <f t="shared" si="10"/>
        <v>100</v>
      </c>
    </row>
    <row r="18" spans="1:27" s="37" customFormat="1" ht="16.5" customHeight="1" x14ac:dyDescent="0.25">
      <c r="A18" s="30">
        <v>13</v>
      </c>
      <c r="B18" s="31">
        <v>3041</v>
      </c>
      <c r="C18" s="32" t="s">
        <v>359</v>
      </c>
      <c r="D18" s="30" t="s">
        <v>11</v>
      </c>
      <c r="E18" s="33">
        <v>45919</v>
      </c>
      <c r="F18" s="30">
        <v>31</v>
      </c>
      <c r="G18" s="30">
        <v>5655000</v>
      </c>
      <c r="H18" s="30">
        <f t="shared" ref="H18" si="91">ROUND(G18*F18/$C$3,0)</f>
        <v>5655000</v>
      </c>
      <c r="I18" s="30">
        <v>6438000</v>
      </c>
      <c r="J18" s="30">
        <f>ROUND(I18*F18/$C$3,0)</f>
        <v>6438000</v>
      </c>
      <c r="K18" s="30">
        <v>3480000</v>
      </c>
      <c r="L18" s="30">
        <f>ROUND(K18*F18/$C$3,0)</f>
        <v>3480000</v>
      </c>
      <c r="M18" s="30">
        <v>2427000</v>
      </c>
      <c r="N18" s="30">
        <f>ROUND(M18*F18/$C$3,0)</f>
        <v>2427000</v>
      </c>
      <c r="O18" s="30"/>
      <c r="P18" s="30">
        <f>ROUND(O18*F18/$C$3,0)</f>
        <v>0</v>
      </c>
      <c r="Q18" s="30">
        <v>3700000</v>
      </c>
      <c r="R18" s="30">
        <f>ROUND(Q18*F18/$C$3,0)</f>
        <v>3700000</v>
      </c>
      <c r="S18" s="30">
        <f>ROUND(H18+J18+L18+N18+P18+R18,0)</f>
        <v>21700000</v>
      </c>
      <c r="T18" s="30">
        <f>VLOOKUP(B18,'[1]Đi tàu'!$B$7:$F$119,5,FALSE)</f>
        <v>540000</v>
      </c>
      <c r="U18" s="34">
        <f>VLOOKUP(B18,[2]T3!$B$7:$F$116,5,FALSE)</f>
        <v>30000</v>
      </c>
      <c r="V18" s="30">
        <f t="shared" si="73"/>
        <v>2615800</v>
      </c>
      <c r="W18" s="34"/>
      <c r="X18" s="30">
        <f>S18-T18-U18-V18-W18</f>
        <v>18514200</v>
      </c>
      <c r="Y18" s="115"/>
      <c r="Z18" s="35"/>
      <c r="AA18" s="35">
        <f t="shared" si="10"/>
        <v>100</v>
      </c>
    </row>
    <row r="19" spans="1:27" s="37" customFormat="1" ht="16.5" customHeight="1" x14ac:dyDescent="0.25">
      <c r="A19" s="30">
        <v>14</v>
      </c>
      <c r="B19" s="31">
        <v>1375</v>
      </c>
      <c r="C19" s="32" t="s">
        <v>245</v>
      </c>
      <c r="D19" s="30" t="s">
        <v>12</v>
      </c>
      <c r="E19" s="33">
        <v>45885</v>
      </c>
      <c r="F19" s="30">
        <v>31</v>
      </c>
      <c r="G19" s="30">
        <v>8385000</v>
      </c>
      <c r="H19" s="30">
        <f t="shared" ref="H19" si="92">ROUND(G19*F19/$C$3,0)</f>
        <v>8385000</v>
      </c>
      <c r="I19" s="30">
        <v>9546000</v>
      </c>
      <c r="J19" s="30">
        <f t="shared" ref="J19" si="93">ROUND(I19*F19/$C$3,0)</f>
        <v>9546000</v>
      </c>
      <c r="K19" s="30">
        <v>5160000</v>
      </c>
      <c r="L19" s="30">
        <f t="shared" ref="L19" si="94">ROUND(K19*F19/$C$3,0)</f>
        <v>5160000</v>
      </c>
      <c r="M19" s="30">
        <v>4909000</v>
      </c>
      <c r="N19" s="30">
        <f t="shared" ref="N19" si="95">ROUND(M19*F19/$C$3,0)</f>
        <v>4909000</v>
      </c>
      <c r="O19" s="30"/>
      <c r="P19" s="30">
        <f t="shared" ref="P19" si="96">ROUND(O19*F19/$C$3,0)</f>
        <v>0</v>
      </c>
      <c r="Q19" s="30">
        <v>7000000</v>
      </c>
      <c r="R19" s="30">
        <f t="shared" ref="R19" si="97">ROUND(Q19*F19/$C$3,0)</f>
        <v>7000000</v>
      </c>
      <c r="S19" s="30">
        <f t="shared" ref="S19" si="98">ROUND(H19+J19+L19+N19+P19+R19,0)</f>
        <v>35000000</v>
      </c>
      <c r="T19" s="30">
        <f>VLOOKUP(B19,'[1]Đi tàu'!$B$7:$F$119,5,FALSE)</f>
        <v>585000</v>
      </c>
      <c r="U19" s="34">
        <f>VLOOKUP(B19,[2]T3!$B$7:$F$116,5,FALSE)</f>
        <v>32500</v>
      </c>
      <c r="V19" s="30">
        <f t="shared" si="73"/>
        <v>2615800</v>
      </c>
      <c r="W19" s="34"/>
      <c r="X19" s="30">
        <f t="shared" ref="X19" si="99">S19-T19-U19-V19-W19</f>
        <v>31766700</v>
      </c>
      <c r="Y19" s="115"/>
      <c r="Z19" s="35"/>
      <c r="AA19" s="35">
        <f t="shared" si="10"/>
        <v>100</v>
      </c>
    </row>
    <row r="20" spans="1:27" s="37" customFormat="1" ht="16.5" customHeight="1" x14ac:dyDescent="0.25">
      <c r="A20" s="67">
        <v>15</v>
      </c>
      <c r="B20" s="31">
        <v>2706</v>
      </c>
      <c r="C20" s="32" t="s">
        <v>361</v>
      </c>
      <c r="D20" s="30" t="s">
        <v>13</v>
      </c>
      <c r="E20" s="33">
        <v>45919</v>
      </c>
      <c r="F20" s="30">
        <v>31</v>
      </c>
      <c r="G20" s="30">
        <v>6630000</v>
      </c>
      <c r="H20" s="30">
        <f t="shared" ref="H20" si="100">ROUND(G20*F20/$C$3,0)</f>
        <v>6630000</v>
      </c>
      <c r="I20" s="30">
        <v>7548000</v>
      </c>
      <c r="J20" s="30">
        <f>ROUND(I20*F20/$C$3,0)</f>
        <v>7548000</v>
      </c>
      <c r="K20" s="30">
        <v>4080000</v>
      </c>
      <c r="L20" s="30">
        <f>ROUND(K20*F20/$C$3,0)</f>
        <v>4080000</v>
      </c>
      <c r="M20" s="30">
        <v>4742000</v>
      </c>
      <c r="N20" s="30">
        <f>ROUND(M20*F20/$C$3,0)</f>
        <v>4742000</v>
      </c>
      <c r="O20" s="30"/>
      <c r="P20" s="30">
        <f>ROUND(O20*F20/$C$3,0)</f>
        <v>0</v>
      </c>
      <c r="Q20" s="30">
        <v>4700000</v>
      </c>
      <c r="R20" s="30">
        <f>ROUND(Q20*F20/$C$3,0)</f>
        <v>4700000</v>
      </c>
      <c r="S20" s="30">
        <f>ROUND(H20+J20+L20+N20+P20+R20,0)</f>
        <v>27700000</v>
      </c>
      <c r="T20" s="30">
        <f>VLOOKUP(B20,'[1]Đi tàu'!$B$7:$F$119,5,FALSE)</f>
        <v>540000</v>
      </c>
      <c r="U20" s="34">
        <f>VLOOKUP(B20,[2]T3!$B$7:$F$116,5,FALSE)</f>
        <v>30000</v>
      </c>
      <c r="V20" s="30">
        <f t="shared" si="73"/>
        <v>2615800</v>
      </c>
      <c r="W20" s="34"/>
      <c r="X20" s="30">
        <f>S20-T20-U20-V20-W20</f>
        <v>24514200</v>
      </c>
      <c r="Y20" s="115"/>
      <c r="Z20" s="35"/>
      <c r="AA20" s="35">
        <f t="shared" si="10"/>
        <v>100</v>
      </c>
    </row>
    <row r="21" spans="1:27" s="37" customFormat="1" ht="16.5" customHeight="1" x14ac:dyDescent="0.25">
      <c r="A21" s="30">
        <v>16</v>
      </c>
      <c r="B21" s="31">
        <v>2547</v>
      </c>
      <c r="C21" s="111" t="s">
        <v>100</v>
      </c>
      <c r="D21" s="30" t="s">
        <v>13</v>
      </c>
      <c r="E21" s="33">
        <v>45885</v>
      </c>
      <c r="F21" s="30">
        <v>31</v>
      </c>
      <c r="G21" s="30">
        <v>6630000</v>
      </c>
      <c r="H21" s="30">
        <f t="shared" ref="H21" si="101">ROUND(G21*F21/$C$3,0)</f>
        <v>6630000</v>
      </c>
      <c r="I21" s="30">
        <v>7548000</v>
      </c>
      <c r="J21" s="30">
        <f t="shared" ref="J21" si="102">ROUND(I21*F21/$C$3,0)</f>
        <v>7548000</v>
      </c>
      <c r="K21" s="30">
        <v>4080000</v>
      </c>
      <c r="L21" s="30">
        <f t="shared" ref="L21" si="103">ROUND(K21*F21/$C$3,0)</f>
        <v>4080000</v>
      </c>
      <c r="M21" s="30">
        <v>4742000</v>
      </c>
      <c r="N21" s="30">
        <f t="shared" ref="N21" si="104">ROUND(M21*F21/$C$3,0)</f>
        <v>4742000</v>
      </c>
      <c r="O21" s="30"/>
      <c r="P21" s="30">
        <f t="shared" ref="P21" si="105">ROUND(O21*F21/$C$3,0)</f>
        <v>0</v>
      </c>
      <c r="Q21" s="30">
        <v>4700000</v>
      </c>
      <c r="R21" s="30">
        <f t="shared" ref="R21" si="106">ROUND(Q21*F21/$C$3,0)</f>
        <v>4700000</v>
      </c>
      <c r="S21" s="30">
        <f t="shared" ref="S21" si="107">ROUND(H21+J21+L21+N21+P21+R21,0)</f>
        <v>27700000</v>
      </c>
      <c r="T21" s="30">
        <f>VLOOKUP(B21,'[1]Đi tàu'!$B$7:$F$119,5,FALSE)</f>
        <v>540000</v>
      </c>
      <c r="U21" s="34">
        <f>VLOOKUP(B21,[2]T3!$B$7:$F$116,5,FALSE)</f>
        <v>30000</v>
      </c>
      <c r="V21" s="30">
        <f t="shared" si="73"/>
        <v>2615800</v>
      </c>
      <c r="W21" s="34"/>
      <c r="X21" s="30">
        <f t="shared" ref="X21" si="108">S21-T21-U21-V21-W21</f>
        <v>24514200</v>
      </c>
      <c r="Y21" s="115"/>
      <c r="Z21" s="35"/>
      <c r="AA21" s="35">
        <f t="shared" si="10"/>
        <v>100</v>
      </c>
    </row>
    <row r="22" spans="1:27" s="37" customFormat="1" ht="16.5" customHeight="1" x14ac:dyDescent="0.25">
      <c r="A22" s="67">
        <v>17</v>
      </c>
      <c r="B22" s="31">
        <v>2760</v>
      </c>
      <c r="C22" s="32" t="s">
        <v>246</v>
      </c>
      <c r="D22" s="30" t="s">
        <v>13</v>
      </c>
      <c r="E22" s="33">
        <v>45885</v>
      </c>
      <c r="F22" s="30">
        <v>31</v>
      </c>
      <c r="G22" s="30">
        <v>6630000</v>
      </c>
      <c r="H22" s="30">
        <f t="shared" ref="H22" si="109">ROUND(G22*F22/$C$3,0)</f>
        <v>6630000</v>
      </c>
      <c r="I22" s="30">
        <v>7548000</v>
      </c>
      <c r="J22" s="30">
        <f t="shared" si="52"/>
        <v>7548000</v>
      </c>
      <c r="K22" s="30">
        <v>4080000</v>
      </c>
      <c r="L22" s="30">
        <f t="shared" si="53"/>
        <v>4080000</v>
      </c>
      <c r="M22" s="30">
        <v>4742000</v>
      </c>
      <c r="N22" s="30">
        <f t="shared" si="54"/>
        <v>4742000</v>
      </c>
      <c r="O22" s="30"/>
      <c r="P22" s="30">
        <f t="shared" si="55"/>
        <v>0</v>
      </c>
      <c r="Q22" s="30">
        <v>4700000</v>
      </c>
      <c r="R22" s="30">
        <f t="shared" si="56"/>
        <v>4700000</v>
      </c>
      <c r="S22" s="30">
        <f t="shared" si="57"/>
        <v>27700000</v>
      </c>
      <c r="T22" s="30">
        <f>VLOOKUP(B22,'[1]Đi tàu'!$B$7:$F$119,5,FALSE)</f>
        <v>540000</v>
      </c>
      <c r="U22" s="34">
        <f>VLOOKUP(B22,[2]T3!$B$7:$F$116,5,FALSE)</f>
        <v>30000</v>
      </c>
      <c r="V22" s="30">
        <f t="shared" si="73"/>
        <v>2615800</v>
      </c>
      <c r="W22" s="34"/>
      <c r="X22" s="30">
        <f t="shared" ref="X22:X24" si="110">S22-T22-U22-V22-W22</f>
        <v>24514200</v>
      </c>
      <c r="Y22" s="115"/>
      <c r="Z22" s="35"/>
      <c r="AA22" s="35">
        <f t="shared" si="10"/>
        <v>100</v>
      </c>
    </row>
    <row r="23" spans="1:27" s="37" customFormat="1" ht="16.5" customHeight="1" x14ac:dyDescent="0.25">
      <c r="A23" s="30">
        <v>18</v>
      </c>
      <c r="B23" s="31">
        <v>2095</v>
      </c>
      <c r="C23" s="32" t="s">
        <v>362</v>
      </c>
      <c r="D23" s="30" t="s">
        <v>14</v>
      </c>
      <c r="E23" s="33">
        <v>45919</v>
      </c>
      <c r="F23" s="30">
        <v>31</v>
      </c>
      <c r="G23" s="30">
        <v>8385000</v>
      </c>
      <c r="H23" s="30">
        <f t="shared" ref="H23" si="111">ROUND(G23*F23/$C$3,0)</f>
        <v>8385000</v>
      </c>
      <c r="I23" s="30">
        <v>9546000</v>
      </c>
      <c r="J23" s="30">
        <f t="shared" ref="J23" si="112">ROUND(I23*F23/$C$3,0)</f>
        <v>9546000</v>
      </c>
      <c r="K23" s="30">
        <v>5160000</v>
      </c>
      <c r="L23" s="30">
        <f t="shared" ref="L23" si="113">ROUND(K23*F23/$C$3,0)</f>
        <v>5160000</v>
      </c>
      <c r="M23" s="30">
        <v>4909000</v>
      </c>
      <c r="N23" s="30">
        <f t="shared" ref="N23" si="114">ROUND(M23*F23/$C$3,0)</f>
        <v>4909000</v>
      </c>
      <c r="O23" s="30"/>
      <c r="P23" s="30">
        <f t="shared" ref="P23" si="115">ROUND(O23*F23/$C$3,0)</f>
        <v>0</v>
      </c>
      <c r="Q23" s="30">
        <v>5800000</v>
      </c>
      <c r="R23" s="30">
        <f t="shared" ref="R23" si="116">ROUND(Q23*F23/$C$3,0)</f>
        <v>5800000</v>
      </c>
      <c r="S23" s="30">
        <f t="shared" ref="S23" si="117">ROUND(H23+J23+L23+N23+P23+R23,0)</f>
        <v>33800000</v>
      </c>
      <c r="T23" s="30">
        <f>VLOOKUP(B23,'[1]Đi tàu'!$B$7:$F$119,5,FALSE)</f>
        <v>585000</v>
      </c>
      <c r="U23" s="34">
        <f>VLOOKUP(B23,[2]T3!$B$7:$F$116,5,FALSE)</f>
        <v>32500</v>
      </c>
      <c r="V23" s="30">
        <f t="shared" si="73"/>
        <v>2615800</v>
      </c>
      <c r="W23" s="34"/>
      <c r="X23" s="30">
        <f t="shared" ref="X23" si="118">S23-T23-U23-V23-W23</f>
        <v>30566700</v>
      </c>
      <c r="Y23" s="115"/>
      <c r="Z23" s="35"/>
      <c r="AA23" s="35">
        <f t="shared" si="10"/>
        <v>100</v>
      </c>
    </row>
    <row r="24" spans="1:27" s="37" customFormat="1" ht="16.5" customHeight="1" x14ac:dyDescent="0.25">
      <c r="A24" s="67">
        <v>19</v>
      </c>
      <c r="B24" s="31">
        <v>2457</v>
      </c>
      <c r="C24" s="32" t="s">
        <v>247</v>
      </c>
      <c r="D24" s="30" t="s">
        <v>15</v>
      </c>
      <c r="E24" s="33">
        <v>45885</v>
      </c>
      <c r="F24" s="30">
        <v>31</v>
      </c>
      <c r="G24" s="30">
        <v>5655000</v>
      </c>
      <c r="H24" s="30">
        <f t="shared" ref="H24" si="119">ROUND(G24*F24/$C$3,0)</f>
        <v>5655000</v>
      </c>
      <c r="I24" s="30">
        <v>6438000</v>
      </c>
      <c r="J24" s="30">
        <f t="shared" si="52"/>
        <v>6438000</v>
      </c>
      <c r="K24" s="30">
        <v>3480000</v>
      </c>
      <c r="L24" s="30">
        <f t="shared" si="53"/>
        <v>3480000</v>
      </c>
      <c r="M24" s="30">
        <v>1427000</v>
      </c>
      <c r="N24" s="30">
        <f t="shared" si="54"/>
        <v>1427000</v>
      </c>
      <c r="O24" s="30"/>
      <c r="P24" s="30">
        <f t="shared" si="55"/>
        <v>0</v>
      </c>
      <c r="Q24" s="30">
        <v>3500000</v>
      </c>
      <c r="R24" s="30">
        <f t="shared" si="56"/>
        <v>3500000</v>
      </c>
      <c r="S24" s="30">
        <f t="shared" si="57"/>
        <v>20500000</v>
      </c>
      <c r="T24" s="30">
        <f>VLOOKUP(B24,'[1]Đi tàu'!$B$7:$F$119,5,FALSE)</f>
        <v>540000</v>
      </c>
      <c r="U24" s="34">
        <f>VLOOKUP(B24,[2]T3!$B$7:$F$116,5,FALSE)</f>
        <v>30000</v>
      </c>
      <c r="V24" s="30">
        <f t="shared" si="73"/>
        <v>2615800</v>
      </c>
      <c r="W24" s="34"/>
      <c r="X24" s="30">
        <f t="shared" si="110"/>
        <v>17314200</v>
      </c>
      <c r="Y24" s="115"/>
      <c r="Z24" s="35"/>
      <c r="AA24" s="35">
        <f t="shared" si="10"/>
        <v>100</v>
      </c>
    </row>
    <row r="25" spans="1:27" s="110" customFormat="1" ht="19.5" customHeight="1" x14ac:dyDescent="0.25">
      <c r="A25" s="102"/>
      <c r="B25" s="103"/>
      <c r="C25" s="104" t="s">
        <v>21</v>
      </c>
      <c r="D25" s="103"/>
      <c r="E25" s="105"/>
      <c r="F25" s="106">
        <f>SUM(F6:F24)</f>
        <v>589</v>
      </c>
      <c r="G25" s="107"/>
      <c r="H25" s="107">
        <f>SUM(H6:H24)</f>
        <v>207090000</v>
      </c>
      <c r="I25" s="107"/>
      <c r="J25" s="107">
        <f>SUM(J6:J24)</f>
        <v>235764000</v>
      </c>
      <c r="K25" s="107"/>
      <c r="L25" s="107">
        <f>SUM(L6:L24)</f>
        <v>127440000</v>
      </c>
      <c r="M25" s="107"/>
      <c r="N25" s="107">
        <f>SUM(N6:N24)</f>
        <v>96996000</v>
      </c>
      <c r="O25" s="107"/>
      <c r="P25" s="107">
        <f>SUM(P6:P24)</f>
        <v>26000000</v>
      </c>
      <c r="Q25" s="107"/>
      <c r="R25" s="107">
        <f t="shared" ref="R25:X25" si="120">SUM(R6:R24)</f>
        <v>177110000</v>
      </c>
      <c r="S25" s="107">
        <f t="shared" si="120"/>
        <v>870400000</v>
      </c>
      <c r="T25" s="107">
        <f t="shared" si="120"/>
        <v>12600000</v>
      </c>
      <c r="U25" s="107">
        <f t="shared" si="120"/>
        <v>700000</v>
      </c>
      <c r="V25" s="107">
        <f t="shared" si="120"/>
        <v>70626600</v>
      </c>
      <c r="W25" s="107">
        <f t="shared" si="120"/>
        <v>0</v>
      </c>
      <c r="X25" s="107">
        <f t="shared" si="120"/>
        <v>786473400</v>
      </c>
      <c r="Y25" s="77"/>
      <c r="Z25" s="108"/>
      <c r="AA25" s="109">
        <f>SUM(AA6:AA24)</f>
        <v>2700</v>
      </c>
    </row>
    <row r="26" spans="1:27" s="57" customFormat="1" ht="13.5" customHeight="1" x14ac:dyDescent="0.25">
      <c r="A26" s="50"/>
      <c r="B26" s="51"/>
      <c r="C26" s="52"/>
      <c r="D26" s="53"/>
      <c r="E26" s="54"/>
      <c r="F26" s="53"/>
      <c r="G26" s="56"/>
      <c r="H26" s="55"/>
      <c r="I26" s="56"/>
      <c r="J26" s="55"/>
      <c r="K26" s="56"/>
      <c r="L26" s="55"/>
      <c r="M26" s="56"/>
      <c r="N26" s="55"/>
      <c r="O26" s="56"/>
      <c r="P26" s="55"/>
      <c r="Q26" s="56"/>
      <c r="R26" s="55"/>
      <c r="T26" s="36"/>
      <c r="U26" s="36"/>
      <c r="V26" s="36"/>
      <c r="W26" s="56"/>
      <c r="X26" s="75"/>
    </row>
    <row r="27" spans="1:27" s="59" customFormat="1" ht="15" customHeight="1" x14ac:dyDescent="0.25">
      <c r="A27" s="58"/>
      <c r="B27" s="58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W27" s="61"/>
      <c r="Y27" s="62" t="s">
        <v>453</v>
      </c>
    </row>
    <row r="28" spans="1:27" s="63" customFormat="1" ht="18" customHeight="1" x14ac:dyDescent="0.35">
      <c r="B28" s="63" t="s">
        <v>45</v>
      </c>
      <c r="D28" s="63" t="s">
        <v>46</v>
      </c>
      <c r="E28" s="64"/>
      <c r="S28" s="63" t="s">
        <v>47</v>
      </c>
      <c r="W28" s="63" t="s">
        <v>48</v>
      </c>
    </row>
    <row r="29" spans="1:27" s="2" customFormat="1" ht="13.2" x14ac:dyDescent="0.25">
      <c r="E29" s="65"/>
    </row>
    <row r="30" spans="1:27" s="2" customFormat="1" ht="13.2" x14ac:dyDescent="0.25">
      <c r="E30" s="65"/>
      <c r="V30" s="2" t="s">
        <v>552</v>
      </c>
      <c r="X30" s="76">
        <f>T25</f>
        <v>12600000</v>
      </c>
    </row>
    <row r="31" spans="1:27" s="2" customFormat="1" ht="13.2" x14ac:dyDescent="0.25">
      <c r="E31" s="65"/>
      <c r="V31" s="2" t="s">
        <v>553</v>
      </c>
      <c r="X31" s="76">
        <f>U25</f>
        <v>700000</v>
      </c>
    </row>
    <row r="32" spans="1:27" s="2" customFormat="1" ht="13.2" x14ac:dyDescent="0.25">
      <c r="E32" s="65"/>
      <c r="V32" s="2" t="s">
        <v>554</v>
      </c>
      <c r="X32" s="76">
        <f>X25</f>
        <v>786473400</v>
      </c>
    </row>
    <row r="33" spans="5:24" s="2" customFormat="1" ht="13.2" x14ac:dyDescent="0.25">
      <c r="E33" s="65"/>
    </row>
    <row r="34" spans="5:24" s="2" customFormat="1" ht="13.2" x14ac:dyDescent="0.25">
      <c r="E34" s="65"/>
      <c r="V34" s="2" t="s">
        <v>555</v>
      </c>
      <c r="X34" s="76">
        <f>SUM(X30:X33)</f>
        <v>799773400</v>
      </c>
    </row>
    <row r="35" spans="5:24" s="2" customFormat="1" ht="13.2" x14ac:dyDescent="0.25">
      <c r="E35" s="65"/>
    </row>
    <row r="36" spans="5:24" s="2" customFormat="1" ht="13.2" x14ac:dyDescent="0.25">
      <c r="E36" s="65"/>
    </row>
    <row r="37" spans="5:24" s="2" customFormat="1" ht="13.2" x14ac:dyDescent="0.25">
      <c r="E37" s="65"/>
    </row>
    <row r="38" spans="5:24" s="2" customFormat="1" ht="13.2" x14ac:dyDescent="0.25">
      <c r="E38" s="65"/>
    </row>
    <row r="39" spans="5:24" s="2" customFormat="1" ht="13.2" x14ac:dyDescent="0.25">
      <c r="E39" s="65"/>
    </row>
    <row r="40" spans="5:24" s="2" customFormat="1" ht="13.2" x14ac:dyDescent="0.25">
      <c r="E40" s="65"/>
    </row>
    <row r="41" spans="5:24" s="2" customFormat="1" ht="13.2" x14ac:dyDescent="0.25">
      <c r="E41" s="65"/>
    </row>
    <row r="42" spans="5:24" s="2" customFormat="1" ht="13.2" x14ac:dyDescent="0.25">
      <c r="E42" s="65"/>
    </row>
    <row r="43" spans="5:24" s="2" customFormat="1" ht="13.2" x14ac:dyDescent="0.25">
      <c r="E43" s="65"/>
    </row>
    <row r="44" spans="5:24" s="2" customFormat="1" ht="13.2" x14ac:dyDescent="0.25">
      <c r="E44" s="65"/>
    </row>
    <row r="45" spans="5:24" s="2" customFormat="1" ht="13.2" x14ac:dyDescent="0.25">
      <c r="E45" s="65"/>
    </row>
    <row r="46" spans="5:24" s="2" customFormat="1" ht="13.2" x14ac:dyDescent="0.25">
      <c r="E46" s="65"/>
    </row>
    <row r="47" spans="5:24" s="2" customFormat="1" ht="13.2" x14ac:dyDescent="0.25">
      <c r="E47" s="65"/>
    </row>
    <row r="48" spans="5:24" s="2" customFormat="1" ht="13.2" x14ac:dyDescent="0.25">
      <c r="E48" s="65"/>
    </row>
    <row r="49" spans="5:5" s="2" customFormat="1" ht="13.2" x14ac:dyDescent="0.25">
      <c r="E49" s="65"/>
    </row>
    <row r="50" spans="5:5" s="2" customFormat="1" ht="13.2" x14ac:dyDescent="0.25">
      <c r="E50" s="65"/>
    </row>
    <row r="51" spans="5:5" s="2" customFormat="1" ht="13.2" x14ac:dyDescent="0.25">
      <c r="E51" s="65"/>
    </row>
    <row r="52" spans="5:5" s="2" customFormat="1" ht="13.2" x14ac:dyDescent="0.25">
      <c r="E52" s="65"/>
    </row>
    <row r="53" spans="5:5" s="2" customFormat="1" ht="13.2" x14ac:dyDescent="0.25">
      <c r="E53" s="65"/>
    </row>
    <row r="54" spans="5:5" s="2" customFormat="1" ht="13.2" x14ac:dyDescent="0.25">
      <c r="E54" s="65"/>
    </row>
    <row r="55" spans="5:5" s="2" customFormat="1" ht="13.2" x14ac:dyDescent="0.25">
      <c r="E55" s="65"/>
    </row>
    <row r="56" spans="5:5" s="2" customFormat="1" ht="13.2" x14ac:dyDescent="0.25">
      <c r="E56" s="65"/>
    </row>
    <row r="57" spans="5:5" s="2" customFormat="1" ht="13.2" x14ac:dyDescent="0.25">
      <c r="E57" s="65"/>
    </row>
    <row r="58" spans="5:5" s="2" customFormat="1" ht="13.2" x14ac:dyDescent="0.25">
      <c r="E58" s="65"/>
    </row>
    <row r="59" spans="5:5" s="2" customFormat="1" ht="13.2" x14ac:dyDescent="0.25">
      <c r="E59" s="65"/>
    </row>
    <row r="60" spans="5:5" s="2" customFormat="1" ht="13.2" x14ac:dyDescent="0.25">
      <c r="E60" s="65"/>
    </row>
    <row r="61" spans="5:5" s="2" customFormat="1" ht="13.2" x14ac:dyDescent="0.25">
      <c r="E61" s="65"/>
    </row>
    <row r="62" spans="5:5" s="2" customFormat="1" ht="13.2" x14ac:dyDescent="0.25">
      <c r="E62" s="65"/>
    </row>
    <row r="63" spans="5:5" s="2" customFormat="1" ht="13.2" x14ac:dyDescent="0.25">
      <c r="E63" s="65"/>
    </row>
    <row r="64" spans="5:5" s="2" customFormat="1" ht="13.2" x14ac:dyDescent="0.25">
      <c r="E64" s="65"/>
    </row>
    <row r="65" spans="5:5" s="2" customFormat="1" ht="13.2" x14ac:dyDescent="0.25">
      <c r="E65" s="65"/>
    </row>
    <row r="66" spans="5:5" s="2" customFormat="1" ht="13.2" x14ac:dyDescent="0.25">
      <c r="E66" s="65"/>
    </row>
    <row r="67" spans="5:5" s="2" customFormat="1" ht="13.2" x14ac:dyDescent="0.25">
      <c r="E67" s="65"/>
    </row>
    <row r="68" spans="5:5" s="2" customFormat="1" ht="13.2" x14ac:dyDescent="0.25">
      <c r="E68" s="65"/>
    </row>
    <row r="69" spans="5:5" s="2" customFormat="1" ht="13.2" x14ac:dyDescent="0.25">
      <c r="E69" s="65"/>
    </row>
    <row r="70" spans="5:5" s="2" customFormat="1" ht="13.2" x14ac:dyDescent="0.25">
      <c r="E70" s="65"/>
    </row>
    <row r="71" spans="5:5" s="2" customFormat="1" ht="13.2" x14ac:dyDescent="0.25">
      <c r="E71" s="65"/>
    </row>
    <row r="72" spans="5:5" s="2" customFormat="1" ht="13.2" x14ac:dyDescent="0.25">
      <c r="E72" s="65"/>
    </row>
    <row r="73" spans="5:5" s="2" customFormat="1" ht="13.2" x14ac:dyDescent="0.25">
      <c r="E73" s="65"/>
    </row>
    <row r="74" spans="5:5" s="2" customFormat="1" ht="13.2" x14ac:dyDescent="0.25">
      <c r="E74" s="65"/>
    </row>
    <row r="75" spans="5:5" s="2" customFormat="1" ht="13.2" x14ac:dyDescent="0.25">
      <c r="E75" s="65"/>
    </row>
    <row r="76" spans="5:5" s="2" customFormat="1" ht="13.2" x14ac:dyDescent="0.25">
      <c r="E76" s="65"/>
    </row>
    <row r="77" spans="5:5" s="2" customFormat="1" ht="13.2" x14ac:dyDescent="0.25">
      <c r="E77" s="65"/>
    </row>
    <row r="78" spans="5:5" s="2" customFormat="1" ht="13.2" x14ac:dyDescent="0.25">
      <c r="E78" s="65"/>
    </row>
    <row r="79" spans="5:5" s="2" customFormat="1" ht="13.2" x14ac:dyDescent="0.25">
      <c r="E79" s="65"/>
    </row>
    <row r="80" spans="5:5" s="2" customFormat="1" ht="13.2" x14ac:dyDescent="0.25">
      <c r="E80" s="65"/>
    </row>
    <row r="81" spans="5:5" s="2" customFormat="1" ht="13.2" x14ac:dyDescent="0.25">
      <c r="E81" s="65"/>
    </row>
    <row r="82" spans="5:5" s="2" customFormat="1" ht="13.2" x14ac:dyDescent="0.25">
      <c r="E82" s="65"/>
    </row>
    <row r="83" spans="5:5" s="2" customFormat="1" ht="13.2" x14ac:dyDescent="0.25">
      <c r="E83" s="65"/>
    </row>
    <row r="84" spans="5:5" s="2" customFormat="1" ht="13.2" x14ac:dyDescent="0.25">
      <c r="E84" s="65"/>
    </row>
    <row r="85" spans="5:5" s="2" customFormat="1" ht="13.2" x14ac:dyDescent="0.25">
      <c r="E85" s="65"/>
    </row>
    <row r="86" spans="5:5" s="2" customFormat="1" ht="13.2" x14ac:dyDescent="0.25">
      <c r="E86" s="65"/>
    </row>
    <row r="87" spans="5:5" s="2" customFormat="1" ht="13.2" x14ac:dyDescent="0.25">
      <c r="E87" s="65"/>
    </row>
    <row r="88" spans="5:5" s="2" customFormat="1" ht="13.2" x14ac:dyDescent="0.25">
      <c r="E88" s="65"/>
    </row>
    <row r="89" spans="5:5" s="2" customFormat="1" ht="13.2" x14ac:dyDescent="0.25">
      <c r="E89" s="65"/>
    </row>
    <row r="90" spans="5:5" s="2" customFormat="1" ht="13.2" x14ac:dyDescent="0.25">
      <c r="E90" s="65"/>
    </row>
    <row r="91" spans="5:5" s="2" customFormat="1" ht="13.2" x14ac:dyDescent="0.25">
      <c r="E91" s="65"/>
    </row>
    <row r="92" spans="5:5" s="2" customFormat="1" ht="13.2" x14ac:dyDescent="0.25">
      <c r="E92" s="65"/>
    </row>
    <row r="93" spans="5:5" s="2" customFormat="1" ht="13.2" x14ac:dyDescent="0.25">
      <c r="E93" s="65"/>
    </row>
    <row r="94" spans="5:5" s="2" customFormat="1" ht="13.2" x14ac:dyDescent="0.25">
      <c r="E94" s="65"/>
    </row>
    <row r="95" spans="5:5" s="2" customFormat="1" ht="13.2" x14ac:dyDescent="0.25">
      <c r="E95" s="65"/>
    </row>
    <row r="96" spans="5:5" s="2" customFormat="1" ht="13.2" x14ac:dyDescent="0.25">
      <c r="E96" s="65"/>
    </row>
    <row r="97" spans="5:5" s="2" customFormat="1" ht="13.2" x14ac:dyDescent="0.25">
      <c r="E97" s="65"/>
    </row>
    <row r="98" spans="5:5" s="2" customFormat="1" ht="13.2" x14ac:dyDescent="0.25">
      <c r="E98" s="65"/>
    </row>
    <row r="99" spans="5:5" s="2" customFormat="1" ht="13.2" x14ac:dyDescent="0.25">
      <c r="E99" s="65"/>
    </row>
    <row r="100" spans="5:5" s="2" customFormat="1" ht="13.2" x14ac:dyDescent="0.25">
      <c r="E100" s="65"/>
    </row>
    <row r="101" spans="5:5" s="2" customFormat="1" ht="13.2" x14ac:dyDescent="0.25">
      <c r="E101" s="65"/>
    </row>
    <row r="102" spans="5:5" s="2" customFormat="1" ht="13.2" x14ac:dyDescent="0.25">
      <c r="E102" s="65"/>
    </row>
    <row r="103" spans="5:5" s="2" customFormat="1" ht="13.2" x14ac:dyDescent="0.25">
      <c r="E103" s="65"/>
    </row>
    <row r="104" spans="5:5" s="2" customFormat="1" ht="13.2" x14ac:dyDescent="0.25">
      <c r="E104" s="65"/>
    </row>
    <row r="105" spans="5:5" s="2" customFormat="1" ht="13.2" x14ac:dyDescent="0.25">
      <c r="E105" s="65"/>
    </row>
    <row r="106" spans="5:5" s="2" customFormat="1" ht="13.2" x14ac:dyDescent="0.25">
      <c r="E106" s="65"/>
    </row>
    <row r="107" spans="5:5" s="2" customFormat="1" ht="13.2" x14ac:dyDescent="0.25">
      <c r="E107" s="65"/>
    </row>
    <row r="108" spans="5:5" s="2" customFormat="1" ht="13.2" x14ac:dyDescent="0.25">
      <c r="E108" s="65"/>
    </row>
    <row r="109" spans="5:5" s="2" customFormat="1" ht="13.2" x14ac:dyDescent="0.25">
      <c r="E109" s="65"/>
    </row>
    <row r="110" spans="5:5" s="2" customFormat="1" ht="13.2" x14ac:dyDescent="0.25">
      <c r="E110" s="65"/>
    </row>
    <row r="111" spans="5:5" s="2" customFormat="1" ht="13.2" x14ac:dyDescent="0.25">
      <c r="E111" s="65"/>
    </row>
    <row r="112" spans="5:5" s="2" customFormat="1" ht="13.2" x14ac:dyDescent="0.25">
      <c r="E112" s="65"/>
    </row>
    <row r="113" spans="5:5" s="2" customFormat="1" ht="13.2" x14ac:dyDescent="0.25">
      <c r="E113" s="65"/>
    </row>
    <row r="114" spans="5:5" s="2" customFormat="1" ht="13.2" x14ac:dyDescent="0.25">
      <c r="E114" s="65"/>
    </row>
    <row r="115" spans="5:5" s="2" customFormat="1" ht="13.2" x14ac:dyDescent="0.25">
      <c r="E115" s="65"/>
    </row>
    <row r="116" spans="5:5" s="2" customFormat="1" ht="13.2" x14ac:dyDescent="0.25">
      <c r="E116" s="65"/>
    </row>
    <row r="117" spans="5:5" s="2" customFormat="1" ht="13.2" x14ac:dyDescent="0.25">
      <c r="E117" s="65"/>
    </row>
    <row r="118" spans="5:5" s="2" customFormat="1" ht="13.2" x14ac:dyDescent="0.25">
      <c r="E118" s="65"/>
    </row>
    <row r="119" spans="5:5" s="2" customFormat="1" ht="13.2" x14ac:dyDescent="0.25">
      <c r="E119" s="65"/>
    </row>
    <row r="120" spans="5:5" s="2" customFormat="1" ht="13.2" x14ac:dyDescent="0.25">
      <c r="E120" s="65"/>
    </row>
    <row r="121" spans="5:5" s="2" customFormat="1" ht="13.2" x14ac:dyDescent="0.25">
      <c r="E121" s="65"/>
    </row>
    <row r="122" spans="5:5" s="2" customFormat="1" ht="13.2" x14ac:dyDescent="0.25">
      <c r="E122" s="65"/>
    </row>
    <row r="123" spans="5:5" s="2" customFormat="1" ht="13.2" x14ac:dyDescent="0.25">
      <c r="E123" s="65"/>
    </row>
    <row r="124" spans="5:5" s="2" customFormat="1" ht="13.2" x14ac:dyDescent="0.25">
      <c r="E124" s="65"/>
    </row>
    <row r="125" spans="5:5" s="2" customFormat="1" ht="13.2" x14ac:dyDescent="0.25">
      <c r="E125" s="65"/>
    </row>
    <row r="126" spans="5:5" s="2" customFormat="1" ht="13.2" x14ac:dyDescent="0.25">
      <c r="E126" s="65"/>
    </row>
    <row r="127" spans="5:5" s="2" customFormat="1" ht="13.2" x14ac:dyDescent="0.25">
      <c r="E127" s="65"/>
    </row>
    <row r="128" spans="5:5" s="2" customFormat="1" ht="13.2" x14ac:dyDescent="0.25">
      <c r="E128" s="65"/>
    </row>
    <row r="129" spans="5:5" s="2" customFormat="1" ht="13.2" x14ac:dyDescent="0.25">
      <c r="E129" s="65"/>
    </row>
    <row r="130" spans="5:5" s="2" customFormat="1" ht="13.2" x14ac:dyDescent="0.25">
      <c r="E130" s="65"/>
    </row>
    <row r="131" spans="5:5" s="2" customFormat="1" ht="13.2" x14ac:dyDescent="0.25">
      <c r="E131" s="65"/>
    </row>
    <row r="132" spans="5:5" s="2" customFormat="1" ht="13.2" x14ac:dyDescent="0.25">
      <c r="E132" s="65"/>
    </row>
    <row r="133" spans="5:5" s="2" customFormat="1" ht="13.2" x14ac:dyDescent="0.25">
      <c r="E133" s="65"/>
    </row>
    <row r="134" spans="5:5" s="2" customFormat="1" ht="13.2" x14ac:dyDescent="0.25">
      <c r="E134" s="65"/>
    </row>
    <row r="135" spans="5:5" s="2" customFormat="1" ht="13.2" x14ac:dyDescent="0.25">
      <c r="E135" s="65"/>
    </row>
    <row r="136" spans="5:5" s="2" customFormat="1" ht="13.2" x14ac:dyDescent="0.25">
      <c r="E136" s="65"/>
    </row>
    <row r="137" spans="5:5" s="2" customFormat="1" ht="13.2" x14ac:dyDescent="0.25">
      <c r="E137" s="65"/>
    </row>
    <row r="138" spans="5:5" s="2" customFormat="1" ht="13.2" x14ac:dyDescent="0.25">
      <c r="E138" s="65"/>
    </row>
    <row r="139" spans="5:5" s="2" customFormat="1" ht="13.2" x14ac:dyDescent="0.25">
      <c r="E139" s="65"/>
    </row>
  </sheetData>
  <mergeCells count="2">
    <mergeCell ref="A1:Y1"/>
    <mergeCell ref="A2:Y2"/>
  </mergeCells>
  <printOptions horizontalCentered="1"/>
  <pageMargins left="0" right="0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101"/>
  <sheetViews>
    <sheetView zoomScaleNormal="100" workbookViewId="0">
      <pane xSplit="1" ySplit="5" topLeftCell="E6" activePane="bottomRight" state="frozen"/>
      <selection pane="topRight" activeCell="D1" sqref="D1"/>
      <selection pane="bottomLeft" activeCell="A6" sqref="A6"/>
      <selection pane="bottomRight" activeCell="AU27" activeCellId="1" sqref="V27 AU27"/>
    </sheetView>
  </sheetViews>
  <sheetFormatPr defaultColWidth="9.109375" defaultRowHeight="13.8" x14ac:dyDescent="0.25"/>
  <cols>
    <col min="1" max="1" width="3.44140625" style="1" customWidth="1"/>
    <col min="2" max="2" width="5.109375" style="1" customWidth="1"/>
    <col min="3" max="3" width="15.33203125" style="1" customWidth="1"/>
    <col min="4" max="4" width="5.5546875" style="1" customWidth="1"/>
    <col min="5" max="5" width="8" style="15" customWidth="1"/>
    <col min="6" max="6" width="4.88671875" style="1" customWidth="1"/>
    <col min="7" max="7" width="9" style="1" hidden="1" customWidth="1"/>
    <col min="8" max="8" width="10.6640625" style="1" customWidth="1"/>
    <col min="9" max="9" width="10.109375" style="1" hidden="1" customWidth="1"/>
    <col min="10" max="10" width="11" style="1" customWidth="1"/>
    <col min="11" max="11" width="10.109375" style="1" hidden="1" customWidth="1"/>
    <col min="12" max="12" width="10.6640625" style="1" customWidth="1"/>
    <col min="13" max="14" width="10" style="1" hidden="1" customWidth="1"/>
    <col min="15" max="15" width="10.109375" style="1" hidden="1" customWidth="1"/>
    <col min="16" max="16" width="10.33203125" style="1" hidden="1" customWidth="1"/>
    <col min="17" max="17" width="11.33203125" style="1" customWidth="1"/>
    <col min="18" max="18" width="10.44140625" style="1" customWidth="1"/>
    <col min="19" max="19" width="9" style="1" customWidth="1"/>
    <col min="20" max="20" width="10.109375" style="1" customWidth="1"/>
    <col min="21" max="21" width="7.109375" style="1" customWidth="1"/>
    <col min="22" max="22" width="11.5546875" style="2" customWidth="1"/>
    <col min="23" max="23" width="10.88671875" style="2" customWidth="1"/>
    <col min="24" max="24" width="3.44140625" style="1" customWidth="1"/>
    <col min="25" max="25" width="5.109375" style="1" customWidth="1"/>
    <col min="26" max="26" width="15.33203125" style="1" customWidth="1"/>
    <col min="27" max="27" width="5.5546875" style="1" customWidth="1"/>
    <col min="28" max="28" width="8" style="15" customWidth="1"/>
    <col min="29" max="29" width="4.88671875" style="1" customWidth="1"/>
    <col min="30" max="30" width="9" style="1" hidden="1" customWidth="1"/>
    <col min="31" max="31" width="10.6640625" style="1" customWidth="1"/>
    <col min="32" max="32" width="10.109375" style="1" hidden="1" customWidth="1"/>
    <col min="33" max="33" width="11" style="1" customWidth="1"/>
    <col min="34" max="34" width="10.109375" style="1" hidden="1" customWidth="1"/>
    <col min="35" max="35" width="10.5546875" style="1" customWidth="1"/>
    <col min="36" max="36" width="7.88671875" style="1" hidden="1" customWidth="1"/>
    <col min="37" max="37" width="9.88671875" style="1" hidden="1" customWidth="1"/>
    <col min="38" max="38" width="8.6640625" style="1" hidden="1" customWidth="1"/>
    <col min="39" max="39" width="9.88671875" style="1" hidden="1" customWidth="1"/>
    <col min="40" max="40" width="8.6640625" style="1" hidden="1" customWidth="1"/>
    <col min="41" max="41" width="9.88671875" style="1" hidden="1" customWidth="1"/>
    <col min="42" max="42" width="11.33203125" style="1" customWidth="1"/>
    <col min="43" max="43" width="10.44140625" style="1" customWidth="1"/>
    <col min="44" max="44" width="9" style="1" customWidth="1"/>
    <col min="45" max="45" width="10.109375" style="1" customWidth="1"/>
    <col min="46" max="46" width="6.33203125" style="1" customWidth="1"/>
    <col min="47" max="47" width="11.5546875" style="2" customWidth="1"/>
    <col min="48" max="48" width="10.88671875" style="2" customWidth="1"/>
    <col min="49" max="16384" width="9.109375" style="1"/>
  </cols>
  <sheetData>
    <row r="1" spans="1:48" s="12" customFormat="1" ht="21" customHeight="1" x14ac:dyDescent="0.4">
      <c r="A1" s="167" t="s">
        <v>49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 t="s">
        <v>49</v>
      </c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</row>
    <row r="2" spans="1:48" s="12" customFormat="1" ht="21" customHeight="1" x14ac:dyDescent="0.4">
      <c r="A2" s="167" t="s">
        <v>515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 t="s">
        <v>515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</row>
    <row r="3" spans="1:48" s="14" customFormat="1" ht="15.75" customHeight="1" x14ac:dyDescent="0.3">
      <c r="A3" s="11"/>
      <c r="B3" s="11"/>
      <c r="C3" s="13">
        <v>31</v>
      </c>
      <c r="E3" s="1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71"/>
      <c r="S3" s="11"/>
      <c r="T3" s="66">
        <v>26158</v>
      </c>
      <c r="U3" s="16"/>
      <c r="W3" s="18" t="s">
        <v>24</v>
      </c>
      <c r="X3" s="11"/>
      <c r="Y3" s="11"/>
      <c r="Z3" s="13">
        <v>28</v>
      </c>
      <c r="AB3" s="15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71"/>
      <c r="AR3" s="11"/>
      <c r="AS3" s="66">
        <v>26110</v>
      </c>
      <c r="AT3" s="16"/>
      <c r="AV3" s="18" t="s">
        <v>24</v>
      </c>
    </row>
    <row r="4" spans="1:48" s="24" customFormat="1" ht="15.75" customHeight="1" x14ac:dyDescent="0.25">
      <c r="A4" s="19" t="s">
        <v>0</v>
      </c>
      <c r="B4" s="19" t="s">
        <v>25</v>
      </c>
      <c r="C4" s="20" t="s">
        <v>26</v>
      </c>
      <c r="D4" s="20" t="s">
        <v>27</v>
      </c>
      <c r="E4" s="21" t="s">
        <v>28</v>
      </c>
      <c r="F4" s="19" t="s">
        <v>28</v>
      </c>
      <c r="G4" s="22"/>
      <c r="H4" s="19" t="s">
        <v>31</v>
      </c>
      <c r="I4" s="22"/>
      <c r="J4" s="19" t="s">
        <v>32</v>
      </c>
      <c r="K4" s="22"/>
      <c r="L4" s="19" t="s">
        <v>33</v>
      </c>
      <c r="M4" s="22"/>
      <c r="N4" s="19" t="s">
        <v>33</v>
      </c>
      <c r="O4" s="22"/>
      <c r="P4" s="19" t="s">
        <v>50</v>
      </c>
      <c r="Q4" s="19" t="s">
        <v>34</v>
      </c>
      <c r="R4" s="19" t="s">
        <v>64</v>
      </c>
      <c r="S4" s="23" t="s">
        <v>35</v>
      </c>
      <c r="T4" s="19" t="s">
        <v>36</v>
      </c>
      <c r="U4" s="19" t="s">
        <v>37</v>
      </c>
      <c r="V4" s="19" t="s">
        <v>51</v>
      </c>
      <c r="W4" s="20" t="s">
        <v>1</v>
      </c>
      <c r="X4" s="19" t="s">
        <v>0</v>
      </c>
      <c r="Y4" s="19" t="s">
        <v>25</v>
      </c>
      <c r="Z4" s="20" t="s">
        <v>26</v>
      </c>
      <c r="AA4" s="20" t="s">
        <v>27</v>
      </c>
      <c r="AB4" s="21" t="s">
        <v>28</v>
      </c>
      <c r="AC4" s="19" t="s">
        <v>28</v>
      </c>
      <c r="AD4" s="22"/>
      <c r="AE4" s="19" t="s">
        <v>31</v>
      </c>
      <c r="AF4" s="22"/>
      <c r="AG4" s="19" t="s">
        <v>32</v>
      </c>
      <c r="AH4" s="22"/>
      <c r="AI4" s="19" t="s">
        <v>33</v>
      </c>
      <c r="AJ4" s="22"/>
      <c r="AK4" s="19" t="s">
        <v>415</v>
      </c>
      <c r="AL4" s="22"/>
      <c r="AM4" s="19" t="s">
        <v>71</v>
      </c>
      <c r="AN4" s="22"/>
      <c r="AO4" s="19" t="s">
        <v>50</v>
      </c>
      <c r="AP4" s="19" t="s">
        <v>34</v>
      </c>
      <c r="AQ4" s="19" t="s">
        <v>64</v>
      </c>
      <c r="AR4" s="23" t="s">
        <v>35</v>
      </c>
      <c r="AS4" s="19" t="s">
        <v>36</v>
      </c>
      <c r="AT4" s="19" t="s">
        <v>37</v>
      </c>
      <c r="AU4" s="19" t="s">
        <v>51</v>
      </c>
      <c r="AV4" s="20" t="s">
        <v>1</v>
      </c>
    </row>
    <row r="5" spans="1:48" s="24" customFormat="1" ht="15.75" customHeight="1" x14ac:dyDescent="0.25">
      <c r="A5" s="25"/>
      <c r="B5" s="25"/>
      <c r="C5" s="26"/>
      <c r="D5" s="27" t="s">
        <v>2</v>
      </c>
      <c r="E5" s="28" t="s">
        <v>29</v>
      </c>
      <c r="F5" s="25" t="s">
        <v>30</v>
      </c>
      <c r="H5" s="25" t="s">
        <v>20</v>
      </c>
      <c r="J5" s="25" t="s">
        <v>38</v>
      </c>
      <c r="L5" s="25" t="s">
        <v>39</v>
      </c>
      <c r="N5" s="25" t="s">
        <v>40</v>
      </c>
      <c r="P5" s="25" t="s">
        <v>70</v>
      </c>
      <c r="Q5" s="25" t="s">
        <v>41</v>
      </c>
      <c r="R5" s="25" t="s">
        <v>63</v>
      </c>
      <c r="S5" s="29"/>
      <c r="T5" s="25" t="s">
        <v>42</v>
      </c>
      <c r="U5" s="25"/>
      <c r="V5" s="25" t="s">
        <v>43</v>
      </c>
      <c r="W5" s="27" t="s">
        <v>44</v>
      </c>
      <c r="X5" s="25"/>
      <c r="Y5" s="25"/>
      <c r="Z5" s="26"/>
      <c r="AA5" s="27" t="s">
        <v>2</v>
      </c>
      <c r="AB5" s="28" t="s">
        <v>29</v>
      </c>
      <c r="AC5" s="25" t="s">
        <v>30</v>
      </c>
      <c r="AE5" s="25" t="s">
        <v>20</v>
      </c>
      <c r="AG5" s="25" t="s">
        <v>38</v>
      </c>
      <c r="AI5" s="25" t="s">
        <v>39</v>
      </c>
      <c r="AK5" s="25" t="s">
        <v>416</v>
      </c>
      <c r="AM5" s="25" t="s">
        <v>72</v>
      </c>
      <c r="AO5" s="25" t="s">
        <v>70</v>
      </c>
      <c r="AP5" s="25" t="s">
        <v>41</v>
      </c>
      <c r="AQ5" s="25" t="s">
        <v>63</v>
      </c>
      <c r="AR5" s="29"/>
      <c r="AS5" s="25" t="s">
        <v>42</v>
      </c>
      <c r="AT5" s="25"/>
      <c r="AU5" s="25" t="s">
        <v>43</v>
      </c>
      <c r="AV5" s="27" t="s">
        <v>44</v>
      </c>
    </row>
    <row r="6" spans="1:48" s="37" customFormat="1" ht="15.75" customHeight="1" x14ac:dyDescent="0.25">
      <c r="A6" s="30">
        <v>1</v>
      </c>
      <c r="B6" s="31">
        <v>748</v>
      </c>
      <c r="C6" s="111" t="s">
        <v>209</v>
      </c>
      <c r="D6" s="30" t="s">
        <v>3</v>
      </c>
      <c r="E6" s="33">
        <v>45866</v>
      </c>
      <c r="F6" s="30">
        <v>5</v>
      </c>
      <c r="G6" s="30">
        <v>24765000</v>
      </c>
      <c r="H6" s="30">
        <f t="shared" ref="H6:H26" si="0">ROUND(G6*F6/$C$3,0)</f>
        <v>3994355</v>
      </c>
      <c r="I6" s="30">
        <v>28194000</v>
      </c>
      <c r="J6" s="30">
        <f t="shared" ref="J6:J26" si="1">ROUND(I6*F6/$C$3,0)</f>
        <v>4547419</v>
      </c>
      <c r="K6" s="30">
        <v>15240000</v>
      </c>
      <c r="L6" s="30">
        <f t="shared" ref="L6:L26" si="2">ROUND(K6*F6/$C$3,0)</f>
        <v>2458065</v>
      </c>
      <c r="M6" s="30">
        <v>6921000</v>
      </c>
      <c r="N6" s="30">
        <f t="shared" ref="N6:N26" si="3">ROUND(M6*F6/$C$3,0)</f>
        <v>1116290</v>
      </c>
      <c r="O6" s="30">
        <v>14000000</v>
      </c>
      <c r="P6" s="30">
        <f t="shared" ref="P6:P26" si="4">ROUND(O6*F6/$C$3,0)</f>
        <v>2258065</v>
      </c>
      <c r="Q6" s="30">
        <f>ROUND(H6+J6+L6+N6+P6,0)</f>
        <v>14374194</v>
      </c>
      <c r="R6" s="30">
        <f>VLOOKUP(B6,'[1]Đi tàu'!$B$7:$F$119,5,FALSE)</f>
        <v>1080000</v>
      </c>
      <c r="S6" s="34">
        <f>VLOOKUP(B6,[2]T3!$B$7:$F$116,5,FALSE)</f>
        <v>60000</v>
      </c>
      <c r="T6" s="30"/>
      <c r="U6" s="34"/>
      <c r="V6" s="30">
        <f>ROUND(Q6-R6-S6-T6-U6,0)</f>
        <v>13234194</v>
      </c>
      <c r="W6" s="99"/>
      <c r="X6" s="30">
        <v>1</v>
      </c>
      <c r="Y6" s="31">
        <v>748</v>
      </c>
      <c r="Z6" s="111" t="s">
        <v>209</v>
      </c>
      <c r="AA6" s="30" t="s">
        <v>3</v>
      </c>
      <c r="AB6" s="33">
        <v>45866</v>
      </c>
      <c r="AC6" s="30">
        <v>26</v>
      </c>
      <c r="AD6" s="30">
        <v>24765000</v>
      </c>
      <c r="AE6" s="30">
        <f t="shared" ref="AE6:AE26" si="5">ROUND(AD6*AC6/$C$3,0)</f>
        <v>20770645</v>
      </c>
      <c r="AF6" s="30">
        <v>28194000</v>
      </c>
      <c r="AG6" s="30">
        <f t="shared" ref="AG6:AG26" si="6">ROUND(AF6*AC6/$C$3,0)</f>
        <v>23646581</v>
      </c>
      <c r="AH6" s="30">
        <v>15240000</v>
      </c>
      <c r="AI6" s="30">
        <f t="shared" ref="AI6:AI26" si="7">ROUND(AH6*AC6/$C$3,0)</f>
        <v>12781935</v>
      </c>
      <c r="AJ6" s="30">
        <v>6921000</v>
      </c>
      <c r="AK6" s="30">
        <f t="shared" ref="AK6:AK26" si="8">ROUND(AJ6*AC6/$C$3,0)</f>
        <v>5804710</v>
      </c>
      <c r="AL6" s="30">
        <v>24880000</v>
      </c>
      <c r="AM6" s="30">
        <f>ROUND(AL6*AC6/$C$3,0)</f>
        <v>20867097</v>
      </c>
      <c r="AN6" s="30">
        <v>14000000</v>
      </c>
      <c r="AO6" s="30">
        <f t="shared" ref="AO6:AO26" si="9">ROUND(AN6*AC6/$C$3,0)</f>
        <v>11741935</v>
      </c>
      <c r="AP6" s="30">
        <f>ROUND(AE6+AG6+AI6+AK6+AM6+AO6,0)</f>
        <v>95612903</v>
      </c>
      <c r="AQ6" s="30"/>
      <c r="AR6" s="34"/>
      <c r="AS6" s="30">
        <f t="shared" ref="AS6:AS13" si="10">ROUND(200*$T$3,0)</f>
        <v>5231600</v>
      </c>
      <c r="AT6" s="34"/>
      <c r="AU6" s="30">
        <f>ROUND(AP6-AQ6-AR6-AS6-AT6,0)</f>
        <v>90381303</v>
      </c>
      <c r="AV6" s="99"/>
    </row>
    <row r="7" spans="1:48" s="37" customFormat="1" ht="15.75" customHeight="1" x14ac:dyDescent="0.25">
      <c r="A7" s="67">
        <v>2</v>
      </c>
      <c r="B7" s="68">
        <v>2135</v>
      </c>
      <c r="C7" s="69" t="s">
        <v>223</v>
      </c>
      <c r="D7" s="67" t="s">
        <v>16</v>
      </c>
      <c r="E7" s="73">
        <v>45878</v>
      </c>
      <c r="F7" s="30">
        <v>5</v>
      </c>
      <c r="G7" s="67">
        <v>19110000</v>
      </c>
      <c r="H7" s="30">
        <f t="shared" si="0"/>
        <v>3082258</v>
      </c>
      <c r="I7" s="67">
        <v>21756000</v>
      </c>
      <c r="J7" s="30">
        <f t="shared" si="1"/>
        <v>3509032</v>
      </c>
      <c r="K7" s="67">
        <v>11760000</v>
      </c>
      <c r="L7" s="30">
        <f t="shared" si="2"/>
        <v>1896774</v>
      </c>
      <c r="M7" s="67">
        <v>7004000</v>
      </c>
      <c r="N7" s="30">
        <f t="shared" si="3"/>
        <v>1129677</v>
      </c>
      <c r="O7" s="67"/>
      <c r="P7" s="30">
        <f t="shared" si="4"/>
        <v>0</v>
      </c>
      <c r="Q7" s="30">
        <f t="shared" ref="Q7:Q14" si="11">ROUND(H7+J7+L7+N7+P7,0)</f>
        <v>9617741</v>
      </c>
      <c r="R7" s="30">
        <f>VLOOKUP(B7,'[1]Đi tàu'!$B$7:$F$119,5,FALSE)</f>
        <v>810000</v>
      </c>
      <c r="S7" s="34">
        <f>VLOOKUP(B7,[2]T3!$B$7:$F$116,5,FALSE)</f>
        <v>45000</v>
      </c>
      <c r="T7" s="30"/>
      <c r="U7" s="34"/>
      <c r="V7" s="30">
        <f t="shared" ref="V7:V14" si="12">ROUND(Q7-R7-S7-T7-U7,0)</f>
        <v>8762741</v>
      </c>
      <c r="W7" s="101"/>
      <c r="X7" s="67">
        <v>2</v>
      </c>
      <c r="Y7" s="68">
        <v>2135</v>
      </c>
      <c r="Z7" s="69" t="s">
        <v>223</v>
      </c>
      <c r="AA7" s="67" t="s">
        <v>16</v>
      </c>
      <c r="AB7" s="73">
        <v>45878</v>
      </c>
      <c r="AC7" s="30">
        <v>26</v>
      </c>
      <c r="AD7" s="67">
        <v>19110000</v>
      </c>
      <c r="AE7" s="30">
        <f t="shared" si="5"/>
        <v>16027742</v>
      </c>
      <c r="AF7" s="67">
        <v>21756000</v>
      </c>
      <c r="AG7" s="30">
        <f t="shared" si="6"/>
        <v>18246968</v>
      </c>
      <c r="AH7" s="67">
        <v>11760000</v>
      </c>
      <c r="AI7" s="30">
        <f t="shared" si="7"/>
        <v>9863226</v>
      </c>
      <c r="AJ7" s="67">
        <v>7004000</v>
      </c>
      <c r="AK7" s="30">
        <f t="shared" si="8"/>
        <v>5874323</v>
      </c>
      <c r="AL7" s="67">
        <v>16670000</v>
      </c>
      <c r="AM7" s="30">
        <f t="shared" ref="AM7:AM26" si="13">ROUND(AL7*AC7/$C$3,0)</f>
        <v>13981290</v>
      </c>
      <c r="AN7" s="67"/>
      <c r="AO7" s="30">
        <f t="shared" si="9"/>
        <v>0</v>
      </c>
      <c r="AP7" s="30">
        <f t="shared" ref="AP7:AP26" si="14">ROUND(AE7+AG7+AI7+AK7+AM7+AO7,0)</f>
        <v>63993549</v>
      </c>
      <c r="AQ7" s="30"/>
      <c r="AR7" s="34"/>
      <c r="AS7" s="30">
        <f t="shared" si="10"/>
        <v>5231600</v>
      </c>
      <c r="AT7" s="34"/>
      <c r="AU7" s="30">
        <f t="shared" ref="AU7:AU14" si="15">ROUND(AP7-AQ7-AR7-AS7-AT7,0)</f>
        <v>58761949</v>
      </c>
      <c r="AV7" s="101"/>
    </row>
    <row r="8" spans="1:48" s="37" customFormat="1" ht="15.75" customHeight="1" x14ac:dyDescent="0.25">
      <c r="A8" s="67">
        <v>3</v>
      </c>
      <c r="B8" s="31">
        <v>1471</v>
      </c>
      <c r="C8" s="32" t="s">
        <v>224</v>
      </c>
      <c r="D8" s="30" t="s">
        <v>4</v>
      </c>
      <c r="E8" s="33">
        <v>45878</v>
      </c>
      <c r="F8" s="30">
        <v>5</v>
      </c>
      <c r="G8" s="30">
        <v>11895000</v>
      </c>
      <c r="H8" s="30">
        <f t="shared" si="0"/>
        <v>1918548</v>
      </c>
      <c r="I8" s="30">
        <v>13542000</v>
      </c>
      <c r="J8" s="30">
        <f t="shared" si="1"/>
        <v>2184194</v>
      </c>
      <c r="K8" s="30">
        <v>7320000</v>
      </c>
      <c r="L8" s="30">
        <f t="shared" si="2"/>
        <v>1180645</v>
      </c>
      <c r="M8" s="30">
        <v>6323000</v>
      </c>
      <c r="N8" s="30">
        <f t="shared" si="3"/>
        <v>1019839</v>
      </c>
      <c r="O8" s="30"/>
      <c r="P8" s="30">
        <f t="shared" si="4"/>
        <v>0</v>
      </c>
      <c r="Q8" s="30">
        <f t="shared" si="11"/>
        <v>6303226</v>
      </c>
      <c r="R8" s="30">
        <f>VLOOKUP(B8,'[1]Đi tàu'!$B$7:$F$119,5,FALSE)</f>
        <v>720000</v>
      </c>
      <c r="S8" s="34">
        <f>VLOOKUP(B8,[2]T3!$B$7:$F$116,5,FALSE)</f>
        <v>40000</v>
      </c>
      <c r="T8" s="30"/>
      <c r="U8" s="34"/>
      <c r="V8" s="30">
        <f t="shared" si="12"/>
        <v>5543226</v>
      </c>
      <c r="W8" s="99"/>
      <c r="X8" s="67">
        <v>3</v>
      </c>
      <c r="Y8" s="31">
        <v>1471</v>
      </c>
      <c r="Z8" s="32" t="s">
        <v>224</v>
      </c>
      <c r="AA8" s="30" t="s">
        <v>4</v>
      </c>
      <c r="AB8" s="33">
        <v>45878</v>
      </c>
      <c r="AC8" s="30">
        <v>26</v>
      </c>
      <c r="AD8" s="30">
        <v>11895000</v>
      </c>
      <c r="AE8" s="30">
        <f t="shared" si="5"/>
        <v>9976452</v>
      </c>
      <c r="AF8" s="30">
        <v>13542000</v>
      </c>
      <c r="AG8" s="30">
        <f t="shared" si="6"/>
        <v>11357806</v>
      </c>
      <c r="AH8" s="30">
        <v>7320000</v>
      </c>
      <c r="AI8" s="30">
        <f t="shared" si="7"/>
        <v>6139355</v>
      </c>
      <c r="AJ8" s="30">
        <v>6323000</v>
      </c>
      <c r="AK8" s="30">
        <f t="shared" si="8"/>
        <v>5303161</v>
      </c>
      <c r="AL8" s="30">
        <v>10920000</v>
      </c>
      <c r="AM8" s="30">
        <f t="shared" si="13"/>
        <v>9158710</v>
      </c>
      <c r="AN8" s="30"/>
      <c r="AO8" s="30">
        <f t="shared" si="9"/>
        <v>0</v>
      </c>
      <c r="AP8" s="30">
        <f t="shared" si="14"/>
        <v>41935484</v>
      </c>
      <c r="AQ8" s="30"/>
      <c r="AR8" s="34"/>
      <c r="AS8" s="30">
        <f t="shared" si="10"/>
        <v>5231600</v>
      </c>
      <c r="AT8" s="34"/>
      <c r="AU8" s="30">
        <f t="shared" si="15"/>
        <v>36703884</v>
      </c>
      <c r="AV8" s="99"/>
    </row>
    <row r="9" spans="1:48" s="37" customFormat="1" ht="15.75" customHeight="1" x14ac:dyDescent="0.25">
      <c r="A9" s="67">
        <v>4</v>
      </c>
      <c r="B9" s="31">
        <v>2918</v>
      </c>
      <c r="C9" s="111" t="s">
        <v>210</v>
      </c>
      <c r="D9" s="30" t="s">
        <v>5</v>
      </c>
      <c r="E9" s="33">
        <v>45866</v>
      </c>
      <c r="F9" s="30">
        <v>5</v>
      </c>
      <c r="G9" s="30">
        <v>10725000</v>
      </c>
      <c r="H9" s="30">
        <f t="shared" si="0"/>
        <v>1729839</v>
      </c>
      <c r="I9" s="30">
        <v>12210000</v>
      </c>
      <c r="J9" s="30">
        <f t="shared" si="1"/>
        <v>1969355</v>
      </c>
      <c r="K9" s="30">
        <v>6600000</v>
      </c>
      <c r="L9" s="30">
        <f t="shared" si="2"/>
        <v>1064516</v>
      </c>
      <c r="M9" s="30">
        <v>6035000</v>
      </c>
      <c r="N9" s="30">
        <f t="shared" si="3"/>
        <v>973387</v>
      </c>
      <c r="O9" s="30"/>
      <c r="P9" s="30">
        <f t="shared" si="4"/>
        <v>0</v>
      </c>
      <c r="Q9" s="30">
        <f t="shared" si="11"/>
        <v>5737097</v>
      </c>
      <c r="R9" s="30">
        <f>VLOOKUP(B9,'[1]Đi tàu'!$B$7:$F$119,5,FALSE)</f>
        <v>675000</v>
      </c>
      <c r="S9" s="34">
        <f>VLOOKUP(B9,[2]T3!$B$7:$F$116,5,FALSE)</f>
        <v>37500</v>
      </c>
      <c r="T9" s="30"/>
      <c r="U9" s="34"/>
      <c r="V9" s="30">
        <f t="shared" si="12"/>
        <v>5024597</v>
      </c>
      <c r="W9" s="99"/>
      <c r="X9" s="67">
        <v>4</v>
      </c>
      <c r="Y9" s="31">
        <v>2918</v>
      </c>
      <c r="Z9" s="111" t="s">
        <v>210</v>
      </c>
      <c r="AA9" s="30" t="s">
        <v>5</v>
      </c>
      <c r="AB9" s="33">
        <v>45866</v>
      </c>
      <c r="AC9" s="30">
        <v>26</v>
      </c>
      <c r="AD9" s="30">
        <v>10725000</v>
      </c>
      <c r="AE9" s="30">
        <f t="shared" si="5"/>
        <v>8995161</v>
      </c>
      <c r="AF9" s="30">
        <v>12210000</v>
      </c>
      <c r="AG9" s="30">
        <f t="shared" si="6"/>
        <v>10240645</v>
      </c>
      <c r="AH9" s="30">
        <v>6600000</v>
      </c>
      <c r="AI9" s="30">
        <f t="shared" si="7"/>
        <v>5535484</v>
      </c>
      <c r="AJ9" s="30">
        <v>6035000</v>
      </c>
      <c r="AK9" s="30">
        <f t="shared" si="8"/>
        <v>5061613</v>
      </c>
      <c r="AL9" s="30">
        <v>9930000</v>
      </c>
      <c r="AM9" s="30">
        <f t="shared" si="13"/>
        <v>8328387</v>
      </c>
      <c r="AN9" s="30"/>
      <c r="AO9" s="30">
        <f t="shared" si="9"/>
        <v>0</v>
      </c>
      <c r="AP9" s="30">
        <f t="shared" si="14"/>
        <v>38161290</v>
      </c>
      <c r="AQ9" s="30"/>
      <c r="AR9" s="34"/>
      <c r="AS9" s="30">
        <f t="shared" si="10"/>
        <v>5231600</v>
      </c>
      <c r="AT9" s="34"/>
      <c r="AU9" s="30">
        <f t="shared" si="15"/>
        <v>32929690</v>
      </c>
      <c r="AV9" s="99"/>
    </row>
    <row r="10" spans="1:48" s="37" customFormat="1" ht="15.75" customHeight="1" x14ac:dyDescent="0.25">
      <c r="A10" s="67">
        <v>5</v>
      </c>
      <c r="B10" s="31">
        <v>1563</v>
      </c>
      <c r="C10" s="32" t="s">
        <v>461</v>
      </c>
      <c r="D10" s="30" t="s">
        <v>6</v>
      </c>
      <c r="E10" s="33">
        <v>46029</v>
      </c>
      <c r="F10" s="30">
        <v>5</v>
      </c>
      <c r="G10" s="30">
        <v>22620000</v>
      </c>
      <c r="H10" s="30">
        <f t="shared" si="0"/>
        <v>3648387</v>
      </c>
      <c r="I10" s="30">
        <v>25752000</v>
      </c>
      <c r="J10" s="30">
        <f t="shared" si="1"/>
        <v>4153548</v>
      </c>
      <c r="K10" s="30">
        <v>13920000</v>
      </c>
      <c r="L10" s="30">
        <f t="shared" si="2"/>
        <v>2245161</v>
      </c>
      <c r="M10" s="30">
        <v>4318000</v>
      </c>
      <c r="N10" s="30">
        <f t="shared" si="3"/>
        <v>696452</v>
      </c>
      <c r="O10" s="30">
        <v>12000000</v>
      </c>
      <c r="P10" s="30">
        <f t="shared" si="4"/>
        <v>1935484</v>
      </c>
      <c r="Q10" s="30">
        <f t="shared" si="11"/>
        <v>12679032</v>
      </c>
      <c r="R10" s="30">
        <f>VLOOKUP(B10,'[1]Đi tàu'!$B$7:$F$119,5,FALSE)</f>
        <v>1035000</v>
      </c>
      <c r="S10" s="34">
        <f>VLOOKUP(B10,[2]T3!$B$7:$F$116,5,FALSE)</f>
        <v>57500</v>
      </c>
      <c r="T10" s="30"/>
      <c r="U10" s="34"/>
      <c r="V10" s="30">
        <f t="shared" si="12"/>
        <v>11586532</v>
      </c>
      <c r="W10" s="99"/>
      <c r="X10" s="67">
        <v>5</v>
      </c>
      <c r="Y10" s="31">
        <v>1563</v>
      </c>
      <c r="Z10" s="32" t="s">
        <v>461</v>
      </c>
      <c r="AA10" s="30" t="s">
        <v>6</v>
      </c>
      <c r="AB10" s="33">
        <v>46029</v>
      </c>
      <c r="AC10" s="30">
        <v>26</v>
      </c>
      <c r="AD10" s="30">
        <v>22620000</v>
      </c>
      <c r="AE10" s="30">
        <f t="shared" si="5"/>
        <v>18971613</v>
      </c>
      <c r="AF10" s="30">
        <v>25752000</v>
      </c>
      <c r="AG10" s="30">
        <f t="shared" si="6"/>
        <v>21598452</v>
      </c>
      <c r="AH10" s="30">
        <v>13920000</v>
      </c>
      <c r="AI10" s="30">
        <f t="shared" si="7"/>
        <v>11674839</v>
      </c>
      <c r="AJ10" s="30">
        <v>4318000</v>
      </c>
      <c r="AK10" s="30">
        <f t="shared" si="8"/>
        <v>3621548</v>
      </c>
      <c r="AL10" s="30">
        <v>21990000</v>
      </c>
      <c r="AM10" s="30">
        <f t="shared" si="13"/>
        <v>18443226</v>
      </c>
      <c r="AN10" s="30">
        <v>12000000</v>
      </c>
      <c r="AO10" s="30">
        <f t="shared" si="9"/>
        <v>10064516</v>
      </c>
      <c r="AP10" s="30">
        <f t="shared" si="14"/>
        <v>84374194</v>
      </c>
      <c r="AQ10" s="30"/>
      <c r="AR10" s="34"/>
      <c r="AS10" s="30">
        <f t="shared" si="10"/>
        <v>5231600</v>
      </c>
      <c r="AT10" s="34"/>
      <c r="AU10" s="30">
        <f t="shared" si="15"/>
        <v>79142594</v>
      </c>
      <c r="AV10" s="99"/>
    </row>
    <row r="11" spans="1:48" s="37" customFormat="1" ht="15.75" customHeight="1" x14ac:dyDescent="0.25">
      <c r="A11" s="67">
        <v>6</v>
      </c>
      <c r="B11" s="31">
        <v>2285</v>
      </c>
      <c r="C11" s="32" t="s">
        <v>83</v>
      </c>
      <c r="D11" s="30" t="s">
        <v>17</v>
      </c>
      <c r="E11" s="33">
        <v>45705</v>
      </c>
      <c r="F11" s="30">
        <v>5</v>
      </c>
      <c r="G11" s="30">
        <v>19110000</v>
      </c>
      <c r="H11" s="30">
        <f t="shared" si="0"/>
        <v>3082258</v>
      </c>
      <c r="I11" s="30">
        <v>21756000</v>
      </c>
      <c r="J11" s="30">
        <f t="shared" si="1"/>
        <v>3509032</v>
      </c>
      <c r="K11" s="30">
        <v>11760000</v>
      </c>
      <c r="L11" s="30">
        <f t="shared" si="2"/>
        <v>1896774</v>
      </c>
      <c r="M11" s="30">
        <v>7004000</v>
      </c>
      <c r="N11" s="30">
        <f t="shared" si="3"/>
        <v>1129677</v>
      </c>
      <c r="O11" s="30"/>
      <c r="P11" s="30">
        <f t="shared" si="4"/>
        <v>0</v>
      </c>
      <c r="Q11" s="30">
        <f t="shared" si="11"/>
        <v>9617741</v>
      </c>
      <c r="R11" s="30">
        <f>VLOOKUP(B11,'[1]Đi tàu'!$B$7:$F$119,5,FALSE)</f>
        <v>810000</v>
      </c>
      <c r="S11" s="34">
        <f>VLOOKUP(B11,[2]T3!$B$7:$F$116,5,FALSE)</f>
        <v>45000</v>
      </c>
      <c r="T11" s="30"/>
      <c r="U11" s="34"/>
      <c r="V11" s="30">
        <f t="shared" si="12"/>
        <v>8762741</v>
      </c>
      <c r="W11" s="99"/>
      <c r="X11" s="67">
        <v>6</v>
      </c>
      <c r="Y11" s="31">
        <v>2285</v>
      </c>
      <c r="Z11" s="32" t="s">
        <v>83</v>
      </c>
      <c r="AA11" s="30" t="s">
        <v>17</v>
      </c>
      <c r="AB11" s="33">
        <v>45705</v>
      </c>
      <c r="AC11" s="30">
        <v>26</v>
      </c>
      <c r="AD11" s="30">
        <v>19110000</v>
      </c>
      <c r="AE11" s="30">
        <f t="shared" si="5"/>
        <v>16027742</v>
      </c>
      <c r="AF11" s="30">
        <v>21756000</v>
      </c>
      <c r="AG11" s="30">
        <f t="shared" si="6"/>
        <v>18246968</v>
      </c>
      <c r="AH11" s="30">
        <v>11760000</v>
      </c>
      <c r="AI11" s="30">
        <f t="shared" si="7"/>
        <v>9863226</v>
      </c>
      <c r="AJ11" s="30">
        <v>7004000</v>
      </c>
      <c r="AK11" s="30">
        <f t="shared" si="8"/>
        <v>5874323</v>
      </c>
      <c r="AL11" s="30">
        <v>16670000</v>
      </c>
      <c r="AM11" s="30">
        <f t="shared" si="13"/>
        <v>13981290</v>
      </c>
      <c r="AN11" s="30"/>
      <c r="AO11" s="30">
        <f t="shared" si="9"/>
        <v>0</v>
      </c>
      <c r="AP11" s="30">
        <f t="shared" si="14"/>
        <v>63993549</v>
      </c>
      <c r="AQ11" s="30"/>
      <c r="AR11" s="34"/>
      <c r="AS11" s="30">
        <f t="shared" si="10"/>
        <v>5231600</v>
      </c>
      <c r="AT11" s="34"/>
      <c r="AU11" s="30">
        <f t="shared" si="15"/>
        <v>58761949</v>
      </c>
      <c r="AV11" s="99"/>
    </row>
    <row r="12" spans="1:48" s="37" customFormat="1" ht="15.75" customHeight="1" x14ac:dyDescent="0.25">
      <c r="A12" s="67">
        <v>7</v>
      </c>
      <c r="B12" s="31">
        <v>2249</v>
      </c>
      <c r="C12" s="32" t="s">
        <v>226</v>
      </c>
      <c r="D12" s="30" t="s">
        <v>7</v>
      </c>
      <c r="E12" s="33">
        <v>45878</v>
      </c>
      <c r="F12" s="30">
        <v>5</v>
      </c>
      <c r="G12" s="30">
        <v>11895000</v>
      </c>
      <c r="H12" s="30">
        <f t="shared" si="0"/>
        <v>1918548</v>
      </c>
      <c r="I12" s="30">
        <v>13542000</v>
      </c>
      <c r="J12" s="30">
        <f t="shared" si="1"/>
        <v>2184194</v>
      </c>
      <c r="K12" s="30">
        <v>7320000</v>
      </c>
      <c r="L12" s="30">
        <f t="shared" si="2"/>
        <v>1180645</v>
      </c>
      <c r="M12" s="30">
        <v>6323000</v>
      </c>
      <c r="N12" s="30">
        <f t="shared" si="3"/>
        <v>1019839</v>
      </c>
      <c r="O12" s="30"/>
      <c r="P12" s="30">
        <f t="shared" si="4"/>
        <v>0</v>
      </c>
      <c r="Q12" s="30">
        <f t="shared" si="11"/>
        <v>6303226</v>
      </c>
      <c r="R12" s="30">
        <f>VLOOKUP(B12,'[1]Đi tàu'!$B$7:$F$119,5,FALSE)</f>
        <v>720000</v>
      </c>
      <c r="S12" s="34">
        <f>VLOOKUP(B12,[2]T3!$B$7:$F$116,5,FALSE)</f>
        <v>40000</v>
      </c>
      <c r="T12" s="30"/>
      <c r="U12" s="34"/>
      <c r="V12" s="30">
        <f t="shared" si="12"/>
        <v>5543226</v>
      </c>
      <c r="W12" s="99"/>
      <c r="X12" s="67">
        <v>7</v>
      </c>
      <c r="Y12" s="31">
        <v>2249</v>
      </c>
      <c r="Z12" s="32" t="s">
        <v>226</v>
      </c>
      <c r="AA12" s="30" t="s">
        <v>7</v>
      </c>
      <c r="AB12" s="33">
        <v>45878</v>
      </c>
      <c r="AC12" s="30">
        <v>26</v>
      </c>
      <c r="AD12" s="30">
        <v>11895000</v>
      </c>
      <c r="AE12" s="30">
        <f t="shared" si="5"/>
        <v>9976452</v>
      </c>
      <c r="AF12" s="30">
        <v>13542000</v>
      </c>
      <c r="AG12" s="30">
        <f t="shared" si="6"/>
        <v>11357806</v>
      </c>
      <c r="AH12" s="30">
        <v>7320000</v>
      </c>
      <c r="AI12" s="30">
        <f t="shared" si="7"/>
        <v>6139355</v>
      </c>
      <c r="AJ12" s="30">
        <v>6323000</v>
      </c>
      <c r="AK12" s="30">
        <f t="shared" si="8"/>
        <v>5303161</v>
      </c>
      <c r="AL12" s="30">
        <v>10920000</v>
      </c>
      <c r="AM12" s="30">
        <f t="shared" si="13"/>
        <v>9158710</v>
      </c>
      <c r="AN12" s="30"/>
      <c r="AO12" s="30">
        <f t="shared" si="9"/>
        <v>0</v>
      </c>
      <c r="AP12" s="30">
        <f t="shared" si="14"/>
        <v>41935484</v>
      </c>
      <c r="AQ12" s="30"/>
      <c r="AR12" s="34"/>
      <c r="AS12" s="30">
        <f t="shared" si="10"/>
        <v>5231600</v>
      </c>
      <c r="AT12" s="34"/>
      <c r="AU12" s="30">
        <f t="shared" si="15"/>
        <v>36703884</v>
      </c>
      <c r="AV12" s="99"/>
    </row>
    <row r="13" spans="1:48" s="37" customFormat="1" ht="15.75" customHeight="1" x14ac:dyDescent="0.25">
      <c r="A13" s="67">
        <v>8</v>
      </c>
      <c r="B13" s="31">
        <v>2701</v>
      </c>
      <c r="C13" s="32" t="s">
        <v>81</v>
      </c>
      <c r="D13" s="30" t="s">
        <v>8</v>
      </c>
      <c r="E13" s="33">
        <v>45705</v>
      </c>
      <c r="F13" s="30">
        <v>5</v>
      </c>
      <c r="G13" s="30">
        <v>10725000</v>
      </c>
      <c r="H13" s="30">
        <f t="shared" si="0"/>
        <v>1729839</v>
      </c>
      <c r="I13" s="30">
        <v>12210000</v>
      </c>
      <c r="J13" s="30">
        <f t="shared" si="1"/>
        <v>1969355</v>
      </c>
      <c r="K13" s="30">
        <v>6600000</v>
      </c>
      <c r="L13" s="30">
        <f t="shared" si="2"/>
        <v>1064516</v>
      </c>
      <c r="M13" s="30">
        <v>6035000</v>
      </c>
      <c r="N13" s="30">
        <f t="shared" si="3"/>
        <v>973387</v>
      </c>
      <c r="O13" s="30"/>
      <c r="P13" s="30">
        <f t="shared" si="4"/>
        <v>0</v>
      </c>
      <c r="Q13" s="30">
        <f t="shared" si="11"/>
        <v>5737097</v>
      </c>
      <c r="R13" s="30">
        <f>VLOOKUP(B13,'[1]Đi tàu'!$B$7:$F$119,5,FALSE)</f>
        <v>675000</v>
      </c>
      <c r="S13" s="34">
        <f>VLOOKUP(B13,[2]T3!$B$7:$F$116,5,FALSE)</f>
        <v>37500</v>
      </c>
      <c r="T13" s="30"/>
      <c r="U13" s="34"/>
      <c r="V13" s="30">
        <f t="shared" si="12"/>
        <v>5024597</v>
      </c>
      <c r="W13" s="99" t="s">
        <v>225</v>
      </c>
      <c r="X13" s="67">
        <v>8</v>
      </c>
      <c r="Y13" s="31">
        <v>2701</v>
      </c>
      <c r="Z13" s="32" t="s">
        <v>81</v>
      </c>
      <c r="AA13" s="30" t="s">
        <v>8</v>
      </c>
      <c r="AB13" s="33">
        <v>45705</v>
      </c>
      <c r="AC13" s="30">
        <v>26</v>
      </c>
      <c r="AD13" s="30">
        <v>10725000</v>
      </c>
      <c r="AE13" s="30">
        <f t="shared" si="5"/>
        <v>8995161</v>
      </c>
      <c r="AF13" s="30">
        <v>12210000</v>
      </c>
      <c r="AG13" s="30">
        <f t="shared" si="6"/>
        <v>10240645</v>
      </c>
      <c r="AH13" s="30">
        <v>6600000</v>
      </c>
      <c r="AI13" s="30">
        <f t="shared" si="7"/>
        <v>5535484</v>
      </c>
      <c r="AJ13" s="30">
        <v>6035000</v>
      </c>
      <c r="AK13" s="30">
        <f t="shared" si="8"/>
        <v>5061613</v>
      </c>
      <c r="AL13" s="30">
        <v>9930000</v>
      </c>
      <c r="AM13" s="30">
        <f t="shared" si="13"/>
        <v>8328387</v>
      </c>
      <c r="AN13" s="30"/>
      <c r="AO13" s="30">
        <f t="shared" si="9"/>
        <v>0</v>
      </c>
      <c r="AP13" s="30">
        <f t="shared" si="14"/>
        <v>38161290</v>
      </c>
      <c r="AQ13" s="30"/>
      <c r="AR13" s="34"/>
      <c r="AS13" s="30">
        <f t="shared" si="10"/>
        <v>5231600</v>
      </c>
      <c r="AT13" s="34"/>
      <c r="AU13" s="30">
        <f t="shared" si="15"/>
        <v>32929690</v>
      </c>
      <c r="AV13" s="99" t="s">
        <v>225</v>
      </c>
    </row>
    <row r="14" spans="1:48" s="37" customFormat="1" ht="15.75" customHeight="1" x14ac:dyDescent="0.25">
      <c r="A14" s="67">
        <v>9</v>
      </c>
      <c r="B14" s="31">
        <v>2817</v>
      </c>
      <c r="C14" s="32" t="s">
        <v>227</v>
      </c>
      <c r="D14" s="30" t="s">
        <v>9</v>
      </c>
      <c r="E14" s="33">
        <v>45878</v>
      </c>
      <c r="F14" s="30">
        <v>5</v>
      </c>
      <c r="G14" s="30">
        <v>8385000</v>
      </c>
      <c r="H14" s="30">
        <f t="shared" si="0"/>
        <v>1352419</v>
      </c>
      <c r="I14" s="30">
        <v>9546000</v>
      </c>
      <c r="J14" s="30">
        <f t="shared" si="1"/>
        <v>1539677</v>
      </c>
      <c r="K14" s="30">
        <v>5160000</v>
      </c>
      <c r="L14" s="30">
        <f t="shared" si="2"/>
        <v>832258</v>
      </c>
      <c r="M14" s="30">
        <v>4909000</v>
      </c>
      <c r="N14" s="30">
        <f t="shared" si="3"/>
        <v>791774</v>
      </c>
      <c r="O14" s="30"/>
      <c r="P14" s="30">
        <f t="shared" si="4"/>
        <v>0</v>
      </c>
      <c r="Q14" s="30">
        <f t="shared" si="11"/>
        <v>4516128</v>
      </c>
      <c r="R14" s="30">
        <f>VLOOKUP(B14,'[1]Đi tàu'!$B$7:$F$119,5,FALSE)</f>
        <v>585000</v>
      </c>
      <c r="S14" s="34">
        <f>VLOOKUP(B14,[2]T3!$B$7:$F$116,5,FALSE)</f>
        <v>32500</v>
      </c>
      <c r="T14" s="30"/>
      <c r="U14" s="34"/>
      <c r="V14" s="30">
        <f t="shared" si="12"/>
        <v>3898628</v>
      </c>
      <c r="W14" s="99"/>
      <c r="X14" s="67">
        <v>9</v>
      </c>
      <c r="Y14" s="31">
        <v>2817</v>
      </c>
      <c r="Z14" s="32" t="s">
        <v>227</v>
      </c>
      <c r="AA14" s="30" t="s">
        <v>9</v>
      </c>
      <c r="AB14" s="33">
        <v>45878</v>
      </c>
      <c r="AC14" s="30">
        <v>26</v>
      </c>
      <c r="AD14" s="30">
        <v>8385000</v>
      </c>
      <c r="AE14" s="30">
        <f t="shared" si="5"/>
        <v>7032581</v>
      </c>
      <c r="AF14" s="30">
        <v>9546000</v>
      </c>
      <c r="AG14" s="30">
        <f t="shared" si="6"/>
        <v>8006323</v>
      </c>
      <c r="AH14" s="30">
        <v>5160000</v>
      </c>
      <c r="AI14" s="30">
        <f t="shared" si="7"/>
        <v>4327742</v>
      </c>
      <c r="AJ14" s="30">
        <v>4909000</v>
      </c>
      <c r="AK14" s="30">
        <f t="shared" si="8"/>
        <v>4117226</v>
      </c>
      <c r="AL14" s="30">
        <v>7000000</v>
      </c>
      <c r="AM14" s="30">
        <f t="shared" si="13"/>
        <v>5870968</v>
      </c>
      <c r="AN14" s="30"/>
      <c r="AO14" s="30">
        <f t="shared" si="9"/>
        <v>0</v>
      </c>
      <c r="AP14" s="30">
        <f t="shared" si="14"/>
        <v>29354840</v>
      </c>
      <c r="AQ14" s="30"/>
      <c r="AR14" s="34"/>
      <c r="AS14" s="30">
        <f>ROUND(100*$T$3,0)</f>
        <v>2615800</v>
      </c>
      <c r="AT14" s="34"/>
      <c r="AU14" s="30">
        <f t="shared" si="15"/>
        <v>26739040</v>
      </c>
      <c r="AV14" s="99"/>
    </row>
    <row r="15" spans="1:48" s="37" customFormat="1" ht="15.75" customHeight="1" x14ac:dyDescent="0.25">
      <c r="A15" s="67">
        <v>10</v>
      </c>
      <c r="B15" s="68">
        <v>2985</v>
      </c>
      <c r="C15" s="69" t="s">
        <v>211</v>
      </c>
      <c r="D15" s="67" t="s">
        <v>10</v>
      </c>
      <c r="E15" s="73">
        <v>45866</v>
      </c>
      <c r="F15" s="30">
        <v>5</v>
      </c>
      <c r="G15" s="67">
        <v>6630000</v>
      </c>
      <c r="H15" s="30">
        <f t="shared" si="0"/>
        <v>1069355</v>
      </c>
      <c r="I15" s="67">
        <v>7548000</v>
      </c>
      <c r="J15" s="30">
        <f t="shared" si="1"/>
        <v>1217419</v>
      </c>
      <c r="K15" s="67">
        <v>4080000</v>
      </c>
      <c r="L15" s="30">
        <f t="shared" si="2"/>
        <v>658065</v>
      </c>
      <c r="M15" s="67">
        <v>4742000</v>
      </c>
      <c r="N15" s="30">
        <f t="shared" si="3"/>
        <v>764839</v>
      </c>
      <c r="O15" s="67"/>
      <c r="P15" s="30">
        <f t="shared" si="4"/>
        <v>0</v>
      </c>
      <c r="Q15" s="30">
        <f>ROUND(H15+J15+L15+N15+P15,0)</f>
        <v>3709678</v>
      </c>
      <c r="R15" s="30">
        <f>VLOOKUP(B15,'[1]Đi tàu'!$B$7:$F$119,5,FALSE)</f>
        <v>540000</v>
      </c>
      <c r="S15" s="34">
        <f>VLOOKUP(B15,[2]T3!$B$7:$F$116,5,FALSE)</f>
        <v>30000</v>
      </c>
      <c r="T15" s="30"/>
      <c r="U15" s="34"/>
      <c r="V15" s="30">
        <f>ROUND(Q15-R15-S15-T15-U15,0)</f>
        <v>3139678</v>
      </c>
      <c r="W15" s="101"/>
      <c r="X15" s="67">
        <v>10</v>
      </c>
      <c r="Y15" s="68">
        <v>2985</v>
      </c>
      <c r="Z15" s="69" t="s">
        <v>211</v>
      </c>
      <c r="AA15" s="67" t="s">
        <v>10</v>
      </c>
      <c r="AB15" s="73">
        <v>45866</v>
      </c>
      <c r="AC15" s="30">
        <v>26</v>
      </c>
      <c r="AD15" s="67">
        <v>6630000</v>
      </c>
      <c r="AE15" s="30">
        <f t="shared" si="5"/>
        <v>5560645</v>
      </c>
      <c r="AF15" s="67">
        <v>7548000</v>
      </c>
      <c r="AG15" s="30">
        <f t="shared" si="6"/>
        <v>6330581</v>
      </c>
      <c r="AH15" s="67">
        <v>4080000</v>
      </c>
      <c r="AI15" s="30">
        <f t="shared" si="7"/>
        <v>3421935</v>
      </c>
      <c r="AJ15" s="67">
        <v>4742000</v>
      </c>
      <c r="AK15" s="30">
        <f t="shared" si="8"/>
        <v>3977161</v>
      </c>
      <c r="AL15" s="67">
        <v>4700000</v>
      </c>
      <c r="AM15" s="30">
        <f t="shared" si="13"/>
        <v>3941935</v>
      </c>
      <c r="AN15" s="67"/>
      <c r="AO15" s="30">
        <f t="shared" si="9"/>
        <v>0</v>
      </c>
      <c r="AP15" s="30">
        <f t="shared" si="14"/>
        <v>23232257</v>
      </c>
      <c r="AQ15" s="30"/>
      <c r="AR15" s="34"/>
      <c r="AS15" s="30">
        <f t="shared" ref="AS15:AS26" si="16">ROUND(100*$T$3,0)</f>
        <v>2615800</v>
      </c>
      <c r="AT15" s="34"/>
      <c r="AU15" s="30">
        <f>ROUND(AP15-AQ15-AR15-AS15-AT15,0)</f>
        <v>20616457</v>
      </c>
      <c r="AV15" s="101"/>
    </row>
    <row r="16" spans="1:48" s="37" customFormat="1" ht="15.75" customHeight="1" x14ac:dyDescent="0.25">
      <c r="A16" s="67">
        <v>11</v>
      </c>
      <c r="B16" s="68">
        <v>2602</v>
      </c>
      <c r="C16" s="69" t="s">
        <v>228</v>
      </c>
      <c r="D16" s="67" t="s">
        <v>10</v>
      </c>
      <c r="E16" s="73">
        <v>45878</v>
      </c>
      <c r="F16" s="30">
        <v>5</v>
      </c>
      <c r="G16" s="67">
        <v>6630000</v>
      </c>
      <c r="H16" s="30">
        <f t="shared" si="0"/>
        <v>1069355</v>
      </c>
      <c r="I16" s="67">
        <v>7548000</v>
      </c>
      <c r="J16" s="30">
        <f t="shared" si="1"/>
        <v>1217419</v>
      </c>
      <c r="K16" s="67">
        <v>4080000</v>
      </c>
      <c r="L16" s="30">
        <f t="shared" si="2"/>
        <v>658065</v>
      </c>
      <c r="M16" s="67">
        <v>4742000</v>
      </c>
      <c r="N16" s="30">
        <f t="shared" si="3"/>
        <v>764839</v>
      </c>
      <c r="O16" s="67"/>
      <c r="P16" s="30">
        <f t="shared" si="4"/>
        <v>0</v>
      </c>
      <c r="Q16" s="30">
        <f t="shared" ref="Q16:Q21" si="17">ROUND(H16+J16+L16+N16+P16,0)</f>
        <v>3709678</v>
      </c>
      <c r="R16" s="30">
        <f>VLOOKUP(B16,'[1]Đi tàu'!$B$7:$F$119,5,FALSE)</f>
        <v>540000</v>
      </c>
      <c r="S16" s="34">
        <f>VLOOKUP(B16,[2]T3!$B$7:$F$116,5,FALSE)</f>
        <v>30000</v>
      </c>
      <c r="T16" s="30"/>
      <c r="U16" s="34"/>
      <c r="V16" s="30">
        <f t="shared" ref="V16:V22" si="18">ROUND(Q16-R16-S16-T16-U16,0)</f>
        <v>3139678</v>
      </c>
      <c r="W16" s="101"/>
      <c r="X16" s="67">
        <v>11</v>
      </c>
      <c r="Y16" s="68">
        <v>2602</v>
      </c>
      <c r="Z16" s="69" t="s">
        <v>228</v>
      </c>
      <c r="AA16" s="67" t="s">
        <v>10</v>
      </c>
      <c r="AB16" s="73">
        <v>45878</v>
      </c>
      <c r="AC16" s="30">
        <v>26</v>
      </c>
      <c r="AD16" s="67">
        <v>6630000</v>
      </c>
      <c r="AE16" s="30">
        <f t="shared" si="5"/>
        <v>5560645</v>
      </c>
      <c r="AF16" s="67">
        <v>7548000</v>
      </c>
      <c r="AG16" s="30">
        <f t="shared" si="6"/>
        <v>6330581</v>
      </c>
      <c r="AH16" s="67">
        <v>4080000</v>
      </c>
      <c r="AI16" s="30">
        <f t="shared" si="7"/>
        <v>3421935</v>
      </c>
      <c r="AJ16" s="67">
        <v>4742000</v>
      </c>
      <c r="AK16" s="30">
        <f t="shared" si="8"/>
        <v>3977161</v>
      </c>
      <c r="AL16" s="67">
        <v>4700000</v>
      </c>
      <c r="AM16" s="30">
        <f t="shared" si="13"/>
        <v>3941935</v>
      </c>
      <c r="AN16" s="67"/>
      <c r="AO16" s="30">
        <f t="shared" si="9"/>
        <v>0</v>
      </c>
      <c r="AP16" s="30">
        <f t="shared" si="14"/>
        <v>23232257</v>
      </c>
      <c r="AQ16" s="30"/>
      <c r="AR16" s="34"/>
      <c r="AS16" s="30">
        <f t="shared" si="16"/>
        <v>2615800</v>
      </c>
      <c r="AT16" s="34"/>
      <c r="AU16" s="30">
        <f t="shared" ref="AU16:AU22" si="19">ROUND(AP16-AQ16-AR16-AS16-AT16,0)</f>
        <v>20616457</v>
      </c>
      <c r="AV16" s="101"/>
    </row>
    <row r="17" spans="1:48" s="37" customFormat="1" ht="15.75" customHeight="1" x14ac:dyDescent="0.25">
      <c r="A17" s="67">
        <v>12</v>
      </c>
      <c r="B17" s="68">
        <v>2843</v>
      </c>
      <c r="C17" s="69" t="s">
        <v>462</v>
      </c>
      <c r="D17" s="67" t="s">
        <v>10</v>
      </c>
      <c r="E17" s="73">
        <v>46029</v>
      </c>
      <c r="F17" s="30">
        <v>5</v>
      </c>
      <c r="G17" s="67">
        <v>6630000</v>
      </c>
      <c r="H17" s="30">
        <f t="shared" si="0"/>
        <v>1069355</v>
      </c>
      <c r="I17" s="67">
        <v>7548000</v>
      </c>
      <c r="J17" s="30">
        <f t="shared" si="1"/>
        <v>1217419</v>
      </c>
      <c r="K17" s="67">
        <v>4080000</v>
      </c>
      <c r="L17" s="30">
        <f t="shared" si="2"/>
        <v>658065</v>
      </c>
      <c r="M17" s="67">
        <v>4742000</v>
      </c>
      <c r="N17" s="30">
        <f t="shared" si="3"/>
        <v>764839</v>
      </c>
      <c r="O17" s="67"/>
      <c r="P17" s="30">
        <f t="shared" si="4"/>
        <v>0</v>
      </c>
      <c r="Q17" s="30">
        <f t="shared" si="17"/>
        <v>3709678</v>
      </c>
      <c r="R17" s="30">
        <f>VLOOKUP(B17,'[1]Đi tàu'!$B$7:$F$119,5,FALSE)</f>
        <v>540000</v>
      </c>
      <c r="S17" s="34">
        <f>VLOOKUP(B17,[2]T3!$B$7:$F$116,5,FALSE)</f>
        <v>30000</v>
      </c>
      <c r="T17" s="30"/>
      <c r="U17" s="34"/>
      <c r="V17" s="30">
        <f t="shared" si="18"/>
        <v>3139678</v>
      </c>
      <c r="W17" s="101"/>
      <c r="X17" s="67">
        <v>12</v>
      </c>
      <c r="Y17" s="68">
        <v>2843</v>
      </c>
      <c r="Z17" s="69" t="s">
        <v>462</v>
      </c>
      <c r="AA17" s="67" t="s">
        <v>10</v>
      </c>
      <c r="AB17" s="73">
        <v>46029</v>
      </c>
      <c r="AC17" s="30">
        <v>26</v>
      </c>
      <c r="AD17" s="67">
        <v>6630000</v>
      </c>
      <c r="AE17" s="30">
        <f t="shared" si="5"/>
        <v>5560645</v>
      </c>
      <c r="AF17" s="67">
        <v>7548000</v>
      </c>
      <c r="AG17" s="30">
        <f t="shared" si="6"/>
        <v>6330581</v>
      </c>
      <c r="AH17" s="67">
        <v>4080000</v>
      </c>
      <c r="AI17" s="30">
        <f t="shared" si="7"/>
        <v>3421935</v>
      </c>
      <c r="AJ17" s="67">
        <v>4742000</v>
      </c>
      <c r="AK17" s="30">
        <f t="shared" si="8"/>
        <v>3977161</v>
      </c>
      <c r="AL17" s="67">
        <v>4700000</v>
      </c>
      <c r="AM17" s="30">
        <f t="shared" si="13"/>
        <v>3941935</v>
      </c>
      <c r="AN17" s="67"/>
      <c r="AO17" s="30">
        <f t="shared" si="9"/>
        <v>0</v>
      </c>
      <c r="AP17" s="30">
        <f t="shared" si="14"/>
        <v>23232257</v>
      </c>
      <c r="AQ17" s="30"/>
      <c r="AR17" s="34"/>
      <c r="AS17" s="30">
        <f t="shared" si="16"/>
        <v>2615800</v>
      </c>
      <c r="AT17" s="34"/>
      <c r="AU17" s="30">
        <f t="shared" si="19"/>
        <v>20616457</v>
      </c>
      <c r="AV17" s="101"/>
    </row>
    <row r="18" spans="1:48" s="37" customFormat="1" ht="15.75" customHeight="1" x14ac:dyDescent="0.25">
      <c r="A18" s="67">
        <v>13</v>
      </c>
      <c r="B18" s="68">
        <v>2834</v>
      </c>
      <c r="C18" s="69" t="s">
        <v>229</v>
      </c>
      <c r="D18" s="67" t="s">
        <v>11</v>
      </c>
      <c r="E18" s="73">
        <v>45878</v>
      </c>
      <c r="F18" s="30">
        <v>5</v>
      </c>
      <c r="G18" s="67">
        <v>5655000</v>
      </c>
      <c r="H18" s="30">
        <f t="shared" si="0"/>
        <v>912097</v>
      </c>
      <c r="I18" s="67">
        <v>6438000</v>
      </c>
      <c r="J18" s="30">
        <f t="shared" si="1"/>
        <v>1038387</v>
      </c>
      <c r="K18" s="67">
        <v>3480000</v>
      </c>
      <c r="L18" s="30">
        <f t="shared" si="2"/>
        <v>561290</v>
      </c>
      <c r="M18" s="67">
        <v>2427000</v>
      </c>
      <c r="N18" s="30">
        <f t="shared" si="3"/>
        <v>391452</v>
      </c>
      <c r="O18" s="67"/>
      <c r="P18" s="30">
        <f t="shared" si="4"/>
        <v>0</v>
      </c>
      <c r="Q18" s="30">
        <f t="shared" si="17"/>
        <v>2903226</v>
      </c>
      <c r="R18" s="30">
        <f>VLOOKUP(B18,'[1]Đi tàu'!$B$7:$F$119,5,FALSE)</f>
        <v>540000</v>
      </c>
      <c r="S18" s="34">
        <f>VLOOKUP(B18,[2]T3!$B$7:$F$116,5,FALSE)</f>
        <v>30000</v>
      </c>
      <c r="T18" s="30"/>
      <c r="U18" s="34"/>
      <c r="V18" s="30">
        <f t="shared" si="18"/>
        <v>2333226</v>
      </c>
      <c r="W18" s="101"/>
      <c r="X18" s="67">
        <v>13</v>
      </c>
      <c r="Y18" s="68">
        <v>2834</v>
      </c>
      <c r="Z18" s="69" t="s">
        <v>229</v>
      </c>
      <c r="AA18" s="67" t="s">
        <v>11</v>
      </c>
      <c r="AB18" s="73">
        <v>45878</v>
      </c>
      <c r="AC18" s="30">
        <v>26</v>
      </c>
      <c r="AD18" s="67">
        <v>5655000</v>
      </c>
      <c r="AE18" s="30">
        <f t="shared" si="5"/>
        <v>4742903</v>
      </c>
      <c r="AF18" s="67">
        <v>6438000</v>
      </c>
      <c r="AG18" s="30">
        <f t="shared" si="6"/>
        <v>5399613</v>
      </c>
      <c r="AH18" s="67">
        <v>3480000</v>
      </c>
      <c r="AI18" s="30">
        <f t="shared" si="7"/>
        <v>2918710</v>
      </c>
      <c r="AJ18" s="67">
        <v>2427000</v>
      </c>
      <c r="AK18" s="30">
        <f t="shared" si="8"/>
        <v>2035548</v>
      </c>
      <c r="AL18" s="67">
        <v>3700000</v>
      </c>
      <c r="AM18" s="30">
        <f t="shared" si="13"/>
        <v>3103226</v>
      </c>
      <c r="AN18" s="67"/>
      <c r="AO18" s="30">
        <f t="shared" si="9"/>
        <v>0</v>
      </c>
      <c r="AP18" s="30">
        <f t="shared" si="14"/>
        <v>18200000</v>
      </c>
      <c r="AQ18" s="30"/>
      <c r="AR18" s="34"/>
      <c r="AS18" s="30">
        <f t="shared" si="16"/>
        <v>2615800</v>
      </c>
      <c r="AT18" s="34"/>
      <c r="AU18" s="30">
        <f t="shared" si="19"/>
        <v>15584200</v>
      </c>
      <c r="AV18" s="101"/>
    </row>
    <row r="19" spans="1:48" s="37" customFormat="1" ht="15.75" customHeight="1" x14ac:dyDescent="0.25">
      <c r="A19" s="67">
        <v>14</v>
      </c>
      <c r="B19" s="68">
        <v>3003</v>
      </c>
      <c r="C19" s="69" t="s">
        <v>230</v>
      </c>
      <c r="D19" s="67" t="s">
        <v>11</v>
      </c>
      <c r="E19" s="73">
        <v>45878</v>
      </c>
      <c r="F19" s="30">
        <v>5</v>
      </c>
      <c r="G19" s="67">
        <v>5655000</v>
      </c>
      <c r="H19" s="30">
        <f t="shared" si="0"/>
        <v>912097</v>
      </c>
      <c r="I19" s="67">
        <v>6438000</v>
      </c>
      <c r="J19" s="30">
        <f t="shared" si="1"/>
        <v>1038387</v>
      </c>
      <c r="K19" s="67">
        <v>3480000</v>
      </c>
      <c r="L19" s="30">
        <f t="shared" si="2"/>
        <v>561290</v>
      </c>
      <c r="M19" s="67">
        <v>2427000</v>
      </c>
      <c r="N19" s="30">
        <f t="shared" si="3"/>
        <v>391452</v>
      </c>
      <c r="O19" s="67"/>
      <c r="P19" s="30">
        <f t="shared" si="4"/>
        <v>0</v>
      </c>
      <c r="Q19" s="30">
        <f t="shared" si="17"/>
        <v>2903226</v>
      </c>
      <c r="R19" s="30">
        <f>VLOOKUP(B19,'[1]Đi tàu'!$B$7:$F$119,5,FALSE)</f>
        <v>540000</v>
      </c>
      <c r="S19" s="34">
        <f>VLOOKUP(B19,[2]T3!$B$7:$F$116,5,FALSE)</f>
        <v>30000</v>
      </c>
      <c r="T19" s="30"/>
      <c r="U19" s="34"/>
      <c r="V19" s="30">
        <f t="shared" si="18"/>
        <v>2333226</v>
      </c>
      <c r="W19" s="101"/>
      <c r="X19" s="67">
        <v>14</v>
      </c>
      <c r="Y19" s="68">
        <v>3003</v>
      </c>
      <c r="Z19" s="69" t="s">
        <v>230</v>
      </c>
      <c r="AA19" s="67" t="s">
        <v>11</v>
      </c>
      <c r="AB19" s="73">
        <v>45878</v>
      </c>
      <c r="AC19" s="30">
        <v>26</v>
      </c>
      <c r="AD19" s="67">
        <v>5655000</v>
      </c>
      <c r="AE19" s="30">
        <f t="shared" si="5"/>
        <v>4742903</v>
      </c>
      <c r="AF19" s="67">
        <v>6438000</v>
      </c>
      <c r="AG19" s="30">
        <f t="shared" si="6"/>
        <v>5399613</v>
      </c>
      <c r="AH19" s="67">
        <v>3480000</v>
      </c>
      <c r="AI19" s="30">
        <f t="shared" si="7"/>
        <v>2918710</v>
      </c>
      <c r="AJ19" s="67">
        <v>2427000</v>
      </c>
      <c r="AK19" s="30">
        <f t="shared" si="8"/>
        <v>2035548</v>
      </c>
      <c r="AL19" s="67">
        <v>3700000</v>
      </c>
      <c r="AM19" s="30">
        <f t="shared" si="13"/>
        <v>3103226</v>
      </c>
      <c r="AN19" s="67"/>
      <c r="AO19" s="30">
        <f t="shared" si="9"/>
        <v>0</v>
      </c>
      <c r="AP19" s="30">
        <f t="shared" si="14"/>
        <v>18200000</v>
      </c>
      <c r="AQ19" s="30"/>
      <c r="AR19" s="34"/>
      <c r="AS19" s="30">
        <f t="shared" si="16"/>
        <v>2615800</v>
      </c>
      <c r="AT19" s="34"/>
      <c r="AU19" s="30">
        <f t="shared" si="19"/>
        <v>15584200</v>
      </c>
      <c r="AV19" s="101"/>
    </row>
    <row r="20" spans="1:48" s="37" customFormat="1" ht="15.75" customHeight="1" x14ac:dyDescent="0.25">
      <c r="A20" s="67">
        <v>15</v>
      </c>
      <c r="B20" s="31">
        <v>2789</v>
      </c>
      <c r="C20" s="32" t="s">
        <v>231</v>
      </c>
      <c r="D20" s="30" t="s">
        <v>12</v>
      </c>
      <c r="E20" s="33">
        <v>45878</v>
      </c>
      <c r="F20" s="30">
        <v>5</v>
      </c>
      <c r="G20" s="30">
        <v>8385000</v>
      </c>
      <c r="H20" s="30">
        <f t="shared" si="0"/>
        <v>1352419</v>
      </c>
      <c r="I20" s="30">
        <v>9546000</v>
      </c>
      <c r="J20" s="30">
        <f t="shared" si="1"/>
        <v>1539677</v>
      </c>
      <c r="K20" s="30">
        <v>5160000</v>
      </c>
      <c r="L20" s="30">
        <f t="shared" si="2"/>
        <v>832258</v>
      </c>
      <c r="M20" s="30">
        <v>4909000</v>
      </c>
      <c r="N20" s="30">
        <f t="shared" si="3"/>
        <v>791774</v>
      </c>
      <c r="O20" s="30"/>
      <c r="P20" s="30">
        <f t="shared" si="4"/>
        <v>0</v>
      </c>
      <c r="Q20" s="30">
        <f t="shared" si="17"/>
        <v>4516128</v>
      </c>
      <c r="R20" s="30">
        <f>VLOOKUP(B20,'[1]Đi tàu'!$B$7:$F$119,5,FALSE)</f>
        <v>585000</v>
      </c>
      <c r="S20" s="34">
        <f>VLOOKUP(B20,[2]T3!$B$7:$F$116,5,FALSE)</f>
        <v>32500</v>
      </c>
      <c r="T20" s="30"/>
      <c r="U20" s="34"/>
      <c r="V20" s="30">
        <f t="shared" si="18"/>
        <v>3898628</v>
      </c>
      <c r="W20" s="99"/>
      <c r="X20" s="67">
        <v>15</v>
      </c>
      <c r="Y20" s="31">
        <v>2789</v>
      </c>
      <c r="Z20" s="32" t="s">
        <v>231</v>
      </c>
      <c r="AA20" s="30" t="s">
        <v>12</v>
      </c>
      <c r="AB20" s="33">
        <v>45878</v>
      </c>
      <c r="AC20" s="30">
        <v>26</v>
      </c>
      <c r="AD20" s="30">
        <v>8385000</v>
      </c>
      <c r="AE20" s="30">
        <f t="shared" si="5"/>
        <v>7032581</v>
      </c>
      <c r="AF20" s="30">
        <v>9546000</v>
      </c>
      <c r="AG20" s="30">
        <f t="shared" si="6"/>
        <v>8006323</v>
      </c>
      <c r="AH20" s="30">
        <v>5160000</v>
      </c>
      <c r="AI20" s="30">
        <f t="shared" si="7"/>
        <v>4327742</v>
      </c>
      <c r="AJ20" s="30">
        <v>4909000</v>
      </c>
      <c r="AK20" s="30">
        <f t="shared" si="8"/>
        <v>4117226</v>
      </c>
      <c r="AL20" s="30">
        <v>7000000</v>
      </c>
      <c r="AM20" s="30">
        <f t="shared" si="13"/>
        <v>5870968</v>
      </c>
      <c r="AN20" s="30"/>
      <c r="AO20" s="30">
        <f t="shared" si="9"/>
        <v>0</v>
      </c>
      <c r="AP20" s="30">
        <f t="shared" si="14"/>
        <v>29354840</v>
      </c>
      <c r="AQ20" s="30"/>
      <c r="AR20" s="34"/>
      <c r="AS20" s="30">
        <f t="shared" si="16"/>
        <v>2615800</v>
      </c>
      <c r="AT20" s="34"/>
      <c r="AU20" s="30">
        <f t="shared" si="19"/>
        <v>26739040</v>
      </c>
      <c r="AV20" s="99"/>
    </row>
    <row r="21" spans="1:48" s="37" customFormat="1" ht="15.75" customHeight="1" x14ac:dyDescent="0.25">
      <c r="A21" s="67">
        <v>16</v>
      </c>
      <c r="B21" s="68">
        <v>2827</v>
      </c>
      <c r="C21" s="69" t="s">
        <v>232</v>
      </c>
      <c r="D21" s="67" t="s">
        <v>13</v>
      </c>
      <c r="E21" s="73">
        <v>45878</v>
      </c>
      <c r="F21" s="30">
        <v>5</v>
      </c>
      <c r="G21" s="67">
        <v>6630000</v>
      </c>
      <c r="H21" s="30">
        <f t="shared" si="0"/>
        <v>1069355</v>
      </c>
      <c r="I21" s="67">
        <v>7548000</v>
      </c>
      <c r="J21" s="30">
        <f t="shared" si="1"/>
        <v>1217419</v>
      </c>
      <c r="K21" s="67">
        <v>4080000</v>
      </c>
      <c r="L21" s="30">
        <f t="shared" si="2"/>
        <v>658065</v>
      </c>
      <c r="M21" s="67">
        <v>4742000</v>
      </c>
      <c r="N21" s="30">
        <f t="shared" si="3"/>
        <v>764839</v>
      </c>
      <c r="O21" s="67"/>
      <c r="P21" s="30">
        <f t="shared" si="4"/>
        <v>0</v>
      </c>
      <c r="Q21" s="30">
        <f t="shared" si="17"/>
        <v>3709678</v>
      </c>
      <c r="R21" s="30">
        <f>VLOOKUP(B21,'[1]Đi tàu'!$B$7:$F$119,5,FALSE)</f>
        <v>540000</v>
      </c>
      <c r="S21" s="34">
        <f>VLOOKUP(B21,[2]T3!$B$7:$F$116,5,FALSE)</f>
        <v>30000</v>
      </c>
      <c r="T21" s="30"/>
      <c r="U21" s="34"/>
      <c r="V21" s="30">
        <f t="shared" si="18"/>
        <v>3139678</v>
      </c>
      <c r="W21" s="101"/>
      <c r="X21" s="67">
        <v>16</v>
      </c>
      <c r="Y21" s="68">
        <v>2827</v>
      </c>
      <c r="Z21" s="69" t="s">
        <v>232</v>
      </c>
      <c r="AA21" s="67" t="s">
        <v>13</v>
      </c>
      <c r="AB21" s="73">
        <v>45878</v>
      </c>
      <c r="AC21" s="30">
        <v>26</v>
      </c>
      <c r="AD21" s="67">
        <v>6630000</v>
      </c>
      <c r="AE21" s="30">
        <f t="shared" si="5"/>
        <v>5560645</v>
      </c>
      <c r="AF21" s="67">
        <v>7548000</v>
      </c>
      <c r="AG21" s="30">
        <f t="shared" si="6"/>
        <v>6330581</v>
      </c>
      <c r="AH21" s="67">
        <v>4080000</v>
      </c>
      <c r="AI21" s="30">
        <f t="shared" si="7"/>
        <v>3421935</v>
      </c>
      <c r="AJ21" s="67">
        <v>4742000</v>
      </c>
      <c r="AK21" s="30">
        <f t="shared" si="8"/>
        <v>3977161</v>
      </c>
      <c r="AL21" s="67">
        <v>4700000</v>
      </c>
      <c r="AM21" s="30">
        <f t="shared" si="13"/>
        <v>3941935</v>
      </c>
      <c r="AN21" s="67"/>
      <c r="AO21" s="30">
        <f t="shared" si="9"/>
        <v>0</v>
      </c>
      <c r="AP21" s="30">
        <f t="shared" si="14"/>
        <v>23232257</v>
      </c>
      <c r="AQ21" s="30"/>
      <c r="AR21" s="34"/>
      <c r="AS21" s="30">
        <f t="shared" si="16"/>
        <v>2615800</v>
      </c>
      <c r="AT21" s="34"/>
      <c r="AU21" s="30">
        <f t="shared" si="19"/>
        <v>20616457</v>
      </c>
      <c r="AV21" s="101"/>
    </row>
    <row r="22" spans="1:48" s="37" customFormat="1" ht="15.75" customHeight="1" x14ac:dyDescent="0.25">
      <c r="A22" s="67">
        <v>17</v>
      </c>
      <c r="B22" s="68">
        <v>2886</v>
      </c>
      <c r="C22" s="118" t="s">
        <v>233</v>
      </c>
      <c r="D22" s="67" t="s">
        <v>13</v>
      </c>
      <c r="E22" s="73">
        <v>45878</v>
      </c>
      <c r="F22" s="30">
        <v>5</v>
      </c>
      <c r="G22" s="67">
        <v>6630000</v>
      </c>
      <c r="H22" s="30">
        <f t="shared" si="0"/>
        <v>1069355</v>
      </c>
      <c r="I22" s="67">
        <v>7548000</v>
      </c>
      <c r="J22" s="30">
        <f t="shared" si="1"/>
        <v>1217419</v>
      </c>
      <c r="K22" s="67">
        <v>4080000</v>
      </c>
      <c r="L22" s="30">
        <f t="shared" si="2"/>
        <v>658065</v>
      </c>
      <c r="M22" s="67">
        <v>4742000</v>
      </c>
      <c r="N22" s="30">
        <f t="shared" si="3"/>
        <v>764839</v>
      </c>
      <c r="O22" s="67"/>
      <c r="P22" s="30">
        <f t="shared" si="4"/>
        <v>0</v>
      </c>
      <c r="Q22" s="30">
        <f>ROUND(H22+J22+L22+N22+P22,0)</f>
        <v>3709678</v>
      </c>
      <c r="R22" s="30">
        <f>VLOOKUP(B22,'[1]Đi tàu'!$B$7:$F$119,5,FALSE)</f>
        <v>540000</v>
      </c>
      <c r="S22" s="34">
        <f>VLOOKUP(B22,[2]T3!$B$7:$F$116,5,FALSE)</f>
        <v>30000</v>
      </c>
      <c r="T22" s="30"/>
      <c r="U22" s="34"/>
      <c r="V22" s="30">
        <f t="shared" si="18"/>
        <v>3139678</v>
      </c>
      <c r="W22" s="101"/>
      <c r="X22" s="67">
        <v>17</v>
      </c>
      <c r="Y22" s="68">
        <v>2886</v>
      </c>
      <c r="Z22" s="118" t="s">
        <v>233</v>
      </c>
      <c r="AA22" s="67" t="s">
        <v>13</v>
      </c>
      <c r="AB22" s="73">
        <v>45878</v>
      </c>
      <c r="AC22" s="30">
        <v>26</v>
      </c>
      <c r="AD22" s="67">
        <v>6630000</v>
      </c>
      <c r="AE22" s="30">
        <f t="shared" si="5"/>
        <v>5560645</v>
      </c>
      <c r="AF22" s="67">
        <v>7548000</v>
      </c>
      <c r="AG22" s="30">
        <f t="shared" si="6"/>
        <v>6330581</v>
      </c>
      <c r="AH22" s="67">
        <v>4080000</v>
      </c>
      <c r="AI22" s="30">
        <f t="shared" si="7"/>
        <v>3421935</v>
      </c>
      <c r="AJ22" s="67">
        <v>4742000</v>
      </c>
      <c r="AK22" s="30">
        <f t="shared" si="8"/>
        <v>3977161</v>
      </c>
      <c r="AL22" s="67">
        <v>4700000</v>
      </c>
      <c r="AM22" s="30">
        <f t="shared" si="13"/>
        <v>3941935</v>
      </c>
      <c r="AN22" s="67"/>
      <c r="AO22" s="30">
        <f t="shared" si="9"/>
        <v>0</v>
      </c>
      <c r="AP22" s="30">
        <f t="shared" si="14"/>
        <v>23232257</v>
      </c>
      <c r="AQ22" s="30"/>
      <c r="AR22" s="34"/>
      <c r="AS22" s="30">
        <f t="shared" si="16"/>
        <v>2615800</v>
      </c>
      <c r="AT22" s="34"/>
      <c r="AU22" s="30">
        <f t="shared" si="19"/>
        <v>20616457</v>
      </c>
      <c r="AV22" s="101"/>
    </row>
    <row r="23" spans="1:48" s="49" customFormat="1" ht="15.75" customHeight="1" x14ac:dyDescent="0.25">
      <c r="A23" s="67">
        <v>18</v>
      </c>
      <c r="B23" s="31">
        <v>2912</v>
      </c>
      <c r="C23" s="32" t="s">
        <v>234</v>
      </c>
      <c r="D23" s="30" t="s">
        <v>13</v>
      </c>
      <c r="E23" s="33">
        <v>45878</v>
      </c>
      <c r="F23" s="30">
        <v>5</v>
      </c>
      <c r="G23" s="67">
        <v>6630000</v>
      </c>
      <c r="H23" s="30">
        <f t="shared" si="0"/>
        <v>1069355</v>
      </c>
      <c r="I23" s="30">
        <v>7548000</v>
      </c>
      <c r="J23" s="30">
        <f t="shared" si="1"/>
        <v>1217419</v>
      </c>
      <c r="K23" s="30">
        <v>4080000</v>
      </c>
      <c r="L23" s="30">
        <f t="shared" si="2"/>
        <v>658065</v>
      </c>
      <c r="M23" s="67">
        <v>4742000</v>
      </c>
      <c r="N23" s="30">
        <f t="shared" si="3"/>
        <v>764839</v>
      </c>
      <c r="O23" s="30"/>
      <c r="P23" s="30">
        <f t="shared" si="4"/>
        <v>0</v>
      </c>
      <c r="Q23" s="30">
        <f>ROUND(H23+J23+L23+N23+P23,0)</f>
        <v>3709678</v>
      </c>
      <c r="R23" s="30">
        <f>VLOOKUP(B23,'[1]Đi tàu'!$B$7:$F$119,5,FALSE)</f>
        <v>540000</v>
      </c>
      <c r="S23" s="34">
        <f>VLOOKUP(B23,[2]T3!$B$7:$F$116,5,FALSE)</f>
        <v>30000</v>
      </c>
      <c r="T23" s="30"/>
      <c r="U23" s="34"/>
      <c r="V23" s="30">
        <f>ROUND(Q23-R23-S23-T23-U23,0)</f>
        <v>3139678</v>
      </c>
      <c r="W23" s="99"/>
      <c r="X23" s="67">
        <v>18</v>
      </c>
      <c r="Y23" s="31">
        <v>2912</v>
      </c>
      <c r="Z23" s="32" t="s">
        <v>234</v>
      </c>
      <c r="AA23" s="30" t="s">
        <v>13</v>
      </c>
      <c r="AB23" s="33">
        <v>45878</v>
      </c>
      <c r="AC23" s="30">
        <v>26</v>
      </c>
      <c r="AD23" s="67">
        <v>6630000</v>
      </c>
      <c r="AE23" s="30">
        <f t="shared" si="5"/>
        <v>5560645</v>
      </c>
      <c r="AF23" s="30">
        <v>7548000</v>
      </c>
      <c r="AG23" s="30">
        <f t="shared" si="6"/>
        <v>6330581</v>
      </c>
      <c r="AH23" s="30">
        <v>4080000</v>
      </c>
      <c r="AI23" s="30">
        <f t="shared" si="7"/>
        <v>3421935</v>
      </c>
      <c r="AJ23" s="67">
        <v>4742000</v>
      </c>
      <c r="AK23" s="30">
        <f t="shared" si="8"/>
        <v>3977161</v>
      </c>
      <c r="AL23" s="67">
        <v>4700000</v>
      </c>
      <c r="AM23" s="30">
        <f t="shared" si="13"/>
        <v>3941935</v>
      </c>
      <c r="AN23" s="30"/>
      <c r="AO23" s="30">
        <f t="shared" si="9"/>
        <v>0</v>
      </c>
      <c r="AP23" s="30">
        <f t="shared" si="14"/>
        <v>23232257</v>
      </c>
      <c r="AQ23" s="30"/>
      <c r="AR23" s="34"/>
      <c r="AS23" s="30">
        <f t="shared" si="16"/>
        <v>2615800</v>
      </c>
      <c r="AT23" s="34"/>
      <c r="AU23" s="30">
        <f>ROUND(AP23-AQ23-AR23-AS23-AT23,0)</f>
        <v>20616457</v>
      </c>
      <c r="AV23" s="99"/>
    </row>
    <row r="24" spans="1:48" s="49" customFormat="1" ht="15.75" customHeight="1" x14ac:dyDescent="0.25">
      <c r="A24" s="67">
        <v>19</v>
      </c>
      <c r="B24" s="31">
        <v>3029</v>
      </c>
      <c r="C24" s="32" t="s">
        <v>235</v>
      </c>
      <c r="D24" s="30" t="s">
        <v>236</v>
      </c>
      <c r="E24" s="33">
        <v>45878</v>
      </c>
      <c r="F24" s="30">
        <v>5</v>
      </c>
      <c r="G24" s="67">
        <v>7410000</v>
      </c>
      <c r="H24" s="30">
        <f t="shared" si="0"/>
        <v>1195161</v>
      </c>
      <c r="I24" s="30">
        <v>8436000</v>
      </c>
      <c r="J24" s="30">
        <f t="shared" si="1"/>
        <v>1360645</v>
      </c>
      <c r="K24" s="30">
        <v>4560000</v>
      </c>
      <c r="L24" s="30">
        <f t="shared" si="2"/>
        <v>735484</v>
      </c>
      <c r="M24" s="67">
        <v>4594000</v>
      </c>
      <c r="N24" s="30">
        <f t="shared" si="3"/>
        <v>740968</v>
      </c>
      <c r="O24" s="30"/>
      <c r="P24" s="30">
        <f t="shared" si="4"/>
        <v>0</v>
      </c>
      <c r="Q24" s="30">
        <f>ROUND(H24+J24+L24+N24+P24,0)</f>
        <v>4032258</v>
      </c>
      <c r="R24" s="30">
        <f>VLOOKUP(B24,'[1]Đi tàu'!$B$7:$F$119,5,FALSE)</f>
        <v>540000</v>
      </c>
      <c r="S24" s="34">
        <f>VLOOKUP(B24,[2]T3!$B$7:$F$116,5,FALSE)</f>
        <v>30000</v>
      </c>
      <c r="T24" s="30"/>
      <c r="U24" s="34"/>
      <c r="V24" s="30">
        <f>ROUND(Q24-R24-S24-T24-U24,0)</f>
        <v>3462258</v>
      </c>
      <c r="W24" s="99"/>
      <c r="X24" s="67">
        <v>19</v>
      </c>
      <c r="Y24" s="31">
        <v>3029</v>
      </c>
      <c r="Z24" s="32" t="s">
        <v>235</v>
      </c>
      <c r="AA24" s="30" t="s">
        <v>236</v>
      </c>
      <c r="AB24" s="33">
        <v>45878</v>
      </c>
      <c r="AC24" s="30">
        <v>26</v>
      </c>
      <c r="AD24" s="67">
        <v>7410000</v>
      </c>
      <c r="AE24" s="30">
        <f t="shared" si="5"/>
        <v>6214839</v>
      </c>
      <c r="AF24" s="30">
        <v>8436000</v>
      </c>
      <c r="AG24" s="30">
        <f t="shared" si="6"/>
        <v>7075355</v>
      </c>
      <c r="AH24" s="30">
        <v>4560000</v>
      </c>
      <c r="AI24" s="30">
        <f t="shared" si="7"/>
        <v>3824516</v>
      </c>
      <c r="AJ24" s="67">
        <v>4594000</v>
      </c>
      <c r="AK24" s="30">
        <f t="shared" si="8"/>
        <v>3853032</v>
      </c>
      <c r="AL24" s="67">
        <v>5000000</v>
      </c>
      <c r="AM24" s="30">
        <f t="shared" si="13"/>
        <v>4193548</v>
      </c>
      <c r="AN24" s="30"/>
      <c r="AO24" s="30">
        <f t="shared" si="9"/>
        <v>0</v>
      </c>
      <c r="AP24" s="30">
        <f t="shared" si="14"/>
        <v>25161290</v>
      </c>
      <c r="AQ24" s="30"/>
      <c r="AR24" s="34"/>
      <c r="AS24" s="30">
        <f t="shared" si="16"/>
        <v>2615800</v>
      </c>
      <c r="AT24" s="34"/>
      <c r="AU24" s="30">
        <f>ROUND(AP24-AQ24-AR24-AS24-AT24,0)</f>
        <v>22545490</v>
      </c>
      <c r="AV24" s="99"/>
    </row>
    <row r="25" spans="1:48" s="57" customFormat="1" ht="15.75" customHeight="1" x14ac:dyDescent="0.25">
      <c r="A25" s="67">
        <v>20</v>
      </c>
      <c r="B25" s="31">
        <v>2929</v>
      </c>
      <c r="C25" s="32" t="s">
        <v>237</v>
      </c>
      <c r="D25" s="30" t="s">
        <v>14</v>
      </c>
      <c r="E25" s="33">
        <v>45878</v>
      </c>
      <c r="F25" s="30">
        <v>5</v>
      </c>
      <c r="G25" s="30">
        <v>8385000</v>
      </c>
      <c r="H25" s="30">
        <f t="shared" si="0"/>
        <v>1352419</v>
      </c>
      <c r="I25" s="30">
        <v>9546000</v>
      </c>
      <c r="J25" s="30">
        <f t="shared" si="1"/>
        <v>1539677</v>
      </c>
      <c r="K25" s="30">
        <v>5160000</v>
      </c>
      <c r="L25" s="30">
        <f t="shared" si="2"/>
        <v>832258</v>
      </c>
      <c r="M25" s="30">
        <v>4909000</v>
      </c>
      <c r="N25" s="30">
        <f t="shared" si="3"/>
        <v>791774</v>
      </c>
      <c r="O25" s="30"/>
      <c r="P25" s="30">
        <f t="shared" si="4"/>
        <v>0</v>
      </c>
      <c r="Q25" s="30">
        <f t="shared" ref="Q25:Q26" si="20">ROUND(H25+J25+L25+N25+P25,0)</f>
        <v>4516128</v>
      </c>
      <c r="R25" s="30">
        <f>VLOOKUP(B25,'[1]Đi tàu'!$B$7:$F$119,5,FALSE)</f>
        <v>585000</v>
      </c>
      <c r="S25" s="34">
        <f>VLOOKUP(B25,[2]T3!$B$7:$F$116,5,FALSE)</f>
        <v>32500</v>
      </c>
      <c r="T25" s="30"/>
      <c r="U25" s="34"/>
      <c r="V25" s="30">
        <f t="shared" ref="V25:V26" si="21">ROUND(Q25-R25-S25-T25-U25,0)</f>
        <v>3898628</v>
      </c>
      <c r="W25" s="99"/>
      <c r="X25" s="67">
        <v>20</v>
      </c>
      <c r="Y25" s="31">
        <v>2929</v>
      </c>
      <c r="Z25" s="32" t="s">
        <v>237</v>
      </c>
      <c r="AA25" s="30" t="s">
        <v>14</v>
      </c>
      <c r="AB25" s="33">
        <v>45878</v>
      </c>
      <c r="AC25" s="30">
        <v>26</v>
      </c>
      <c r="AD25" s="30">
        <v>8385000</v>
      </c>
      <c r="AE25" s="30">
        <f t="shared" si="5"/>
        <v>7032581</v>
      </c>
      <c r="AF25" s="30">
        <v>9546000</v>
      </c>
      <c r="AG25" s="30">
        <f t="shared" si="6"/>
        <v>8006323</v>
      </c>
      <c r="AH25" s="30">
        <v>5160000</v>
      </c>
      <c r="AI25" s="30">
        <f t="shared" si="7"/>
        <v>4327742</v>
      </c>
      <c r="AJ25" s="30">
        <v>4909000</v>
      </c>
      <c r="AK25" s="30">
        <f t="shared" si="8"/>
        <v>4117226</v>
      </c>
      <c r="AL25" s="30">
        <v>5800000</v>
      </c>
      <c r="AM25" s="30">
        <f t="shared" si="13"/>
        <v>4864516</v>
      </c>
      <c r="AN25" s="30"/>
      <c r="AO25" s="30">
        <f t="shared" si="9"/>
        <v>0</v>
      </c>
      <c r="AP25" s="30">
        <f t="shared" si="14"/>
        <v>28348388</v>
      </c>
      <c r="AQ25" s="30"/>
      <c r="AR25" s="34"/>
      <c r="AS25" s="30">
        <f t="shared" si="16"/>
        <v>2615800</v>
      </c>
      <c r="AT25" s="34"/>
      <c r="AU25" s="30">
        <f t="shared" ref="AU25:AU26" si="22">ROUND(AP25-AQ25-AR25-AS25-AT25,0)</f>
        <v>25732588</v>
      </c>
      <c r="AV25" s="99"/>
    </row>
    <row r="26" spans="1:48" s="59" customFormat="1" ht="15.75" customHeight="1" x14ac:dyDescent="0.25">
      <c r="A26" s="67">
        <v>21</v>
      </c>
      <c r="B26" s="68">
        <v>3035</v>
      </c>
      <c r="C26" s="69" t="s">
        <v>238</v>
      </c>
      <c r="D26" s="67" t="s">
        <v>15</v>
      </c>
      <c r="E26" s="73">
        <v>45878</v>
      </c>
      <c r="F26" s="30">
        <v>5</v>
      </c>
      <c r="G26" s="67">
        <v>5655000</v>
      </c>
      <c r="H26" s="30">
        <f t="shared" si="0"/>
        <v>912097</v>
      </c>
      <c r="I26" s="67">
        <v>6438000</v>
      </c>
      <c r="J26" s="30">
        <f t="shared" si="1"/>
        <v>1038387</v>
      </c>
      <c r="K26" s="67">
        <v>3480000</v>
      </c>
      <c r="L26" s="30">
        <f t="shared" si="2"/>
        <v>561290</v>
      </c>
      <c r="M26" s="67">
        <v>1427000</v>
      </c>
      <c r="N26" s="30">
        <f t="shared" si="3"/>
        <v>230161</v>
      </c>
      <c r="O26" s="67"/>
      <c r="P26" s="30">
        <f t="shared" si="4"/>
        <v>0</v>
      </c>
      <c r="Q26" s="30">
        <f t="shared" si="20"/>
        <v>2741935</v>
      </c>
      <c r="R26" s="30">
        <f>VLOOKUP(B26,'[1]Đi tàu'!$B$7:$F$119,5,FALSE)</f>
        <v>540000</v>
      </c>
      <c r="S26" s="34">
        <f>VLOOKUP(B26,[2]T3!$B$7:$F$116,5,FALSE)</f>
        <v>30000</v>
      </c>
      <c r="T26" s="30"/>
      <c r="U26" s="34"/>
      <c r="V26" s="30">
        <f t="shared" si="21"/>
        <v>2171935</v>
      </c>
      <c r="W26" s="101"/>
      <c r="X26" s="67">
        <v>21</v>
      </c>
      <c r="Y26" s="68">
        <v>3035</v>
      </c>
      <c r="Z26" s="69" t="s">
        <v>238</v>
      </c>
      <c r="AA26" s="67" t="s">
        <v>15</v>
      </c>
      <c r="AB26" s="73">
        <v>45878</v>
      </c>
      <c r="AC26" s="30">
        <v>26</v>
      </c>
      <c r="AD26" s="67">
        <v>5655000</v>
      </c>
      <c r="AE26" s="30">
        <f t="shared" si="5"/>
        <v>4742903</v>
      </c>
      <c r="AF26" s="67">
        <v>6438000</v>
      </c>
      <c r="AG26" s="30">
        <f t="shared" si="6"/>
        <v>5399613</v>
      </c>
      <c r="AH26" s="67">
        <v>3480000</v>
      </c>
      <c r="AI26" s="30">
        <f t="shared" si="7"/>
        <v>2918710</v>
      </c>
      <c r="AJ26" s="67">
        <v>1427000</v>
      </c>
      <c r="AK26" s="30">
        <f t="shared" si="8"/>
        <v>1196839</v>
      </c>
      <c r="AL26" s="67">
        <v>3500000</v>
      </c>
      <c r="AM26" s="30">
        <f t="shared" si="13"/>
        <v>2935484</v>
      </c>
      <c r="AN26" s="67"/>
      <c r="AO26" s="30">
        <f t="shared" si="9"/>
        <v>0</v>
      </c>
      <c r="AP26" s="30">
        <f t="shared" si="14"/>
        <v>17193549</v>
      </c>
      <c r="AQ26" s="30"/>
      <c r="AR26" s="34"/>
      <c r="AS26" s="30">
        <f t="shared" si="16"/>
        <v>2615800</v>
      </c>
      <c r="AT26" s="34"/>
      <c r="AU26" s="30">
        <f t="shared" si="22"/>
        <v>14577749</v>
      </c>
      <c r="AV26" s="101"/>
    </row>
    <row r="27" spans="1:48" s="63" customFormat="1" ht="15.75" customHeight="1" x14ac:dyDescent="0.35">
      <c r="A27" s="74"/>
      <c r="B27" s="43"/>
      <c r="C27" s="44" t="s">
        <v>21</v>
      </c>
      <c r="D27" s="43"/>
      <c r="E27" s="45"/>
      <c r="F27" s="70">
        <f>SUM(F6:F26)</f>
        <v>105</v>
      </c>
      <c r="G27" s="42"/>
      <c r="H27" s="42">
        <f>SUM(H6:H26)</f>
        <v>35508871</v>
      </c>
      <c r="I27" s="42"/>
      <c r="J27" s="42">
        <f>SUM(J6:J26)</f>
        <v>40425480</v>
      </c>
      <c r="K27" s="42"/>
      <c r="L27" s="42">
        <f>SUM(L6:L26)</f>
        <v>21851614</v>
      </c>
      <c r="M27" s="42"/>
      <c r="N27" s="42">
        <f>SUM(N6:N26)</f>
        <v>16776937</v>
      </c>
      <c r="O27" s="42"/>
      <c r="P27" s="42">
        <f t="shared" ref="P27:V27" si="23">SUM(P6:P26)</f>
        <v>4193549</v>
      </c>
      <c r="Q27" s="42">
        <f t="shared" si="23"/>
        <v>118756451</v>
      </c>
      <c r="R27" s="42">
        <f t="shared" si="23"/>
        <v>13680000</v>
      </c>
      <c r="S27" s="42">
        <f t="shared" si="23"/>
        <v>760000</v>
      </c>
      <c r="T27" s="42">
        <f t="shared" si="23"/>
        <v>0</v>
      </c>
      <c r="U27" s="42">
        <f t="shared" si="23"/>
        <v>0</v>
      </c>
      <c r="V27" s="42">
        <f t="shared" si="23"/>
        <v>104316451</v>
      </c>
      <c r="W27" s="77"/>
      <c r="X27" s="74"/>
      <c r="Y27" s="43"/>
      <c r="Z27" s="44" t="s">
        <v>21</v>
      </c>
      <c r="AA27" s="43"/>
      <c r="AB27" s="45"/>
      <c r="AC27" s="70">
        <f>SUM(AC6:AC26)</f>
        <v>546</v>
      </c>
      <c r="AD27" s="42"/>
      <c r="AE27" s="42">
        <f>SUM(AE6:AE26)</f>
        <v>184646129</v>
      </c>
      <c r="AF27" s="42"/>
      <c r="AG27" s="42">
        <f>SUM(AG6:AG26)</f>
        <v>210212520</v>
      </c>
      <c r="AH27" s="42"/>
      <c r="AI27" s="42">
        <f>SUM(AI6:AI26)</f>
        <v>113628386</v>
      </c>
      <c r="AJ27" s="42"/>
      <c r="AK27" s="42">
        <f>SUM(AK6:AK26)</f>
        <v>87240063</v>
      </c>
      <c r="AL27" s="42"/>
      <c r="AM27" s="42">
        <f>SUM(AM6:AM26)</f>
        <v>155840643</v>
      </c>
      <c r="AN27" s="42"/>
      <c r="AO27" s="42">
        <f t="shared" ref="AO27:AU27" si="24">SUM(AO6:AO26)</f>
        <v>21806451</v>
      </c>
      <c r="AP27" s="42">
        <f t="shared" si="24"/>
        <v>773374192</v>
      </c>
      <c r="AQ27" s="42">
        <f t="shared" si="24"/>
        <v>0</v>
      </c>
      <c r="AR27" s="42">
        <f t="shared" si="24"/>
        <v>0</v>
      </c>
      <c r="AS27" s="42">
        <f t="shared" si="24"/>
        <v>75858200</v>
      </c>
      <c r="AT27" s="42">
        <f t="shared" si="24"/>
        <v>0</v>
      </c>
      <c r="AU27" s="42">
        <f t="shared" si="24"/>
        <v>697515992</v>
      </c>
      <c r="AV27" s="77"/>
    </row>
    <row r="28" spans="1:48" s="2" customFormat="1" ht="15.75" customHeight="1" x14ac:dyDescent="0.25">
      <c r="A28" s="50"/>
      <c r="B28" s="51"/>
      <c r="C28" s="52"/>
      <c r="D28" s="53"/>
      <c r="E28" s="54"/>
      <c r="F28" s="53"/>
      <c r="G28" s="56"/>
      <c r="H28" s="55"/>
      <c r="I28" s="56"/>
      <c r="J28" s="55"/>
      <c r="K28" s="56"/>
      <c r="L28" s="55"/>
      <c r="M28" s="56"/>
      <c r="N28" s="55"/>
      <c r="O28" s="56"/>
      <c r="P28" s="55"/>
      <c r="Q28" s="55"/>
      <c r="R28" s="57"/>
      <c r="S28" s="55"/>
      <c r="T28" s="55"/>
      <c r="U28" s="56"/>
      <c r="V28" s="36"/>
      <c r="W28" s="78"/>
      <c r="X28" s="50"/>
      <c r="Y28" s="51"/>
      <c r="Z28" s="52"/>
      <c r="AA28" s="53"/>
      <c r="AB28" s="54"/>
      <c r="AC28" s="53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  <c r="AO28" s="55"/>
      <c r="AP28" s="55"/>
      <c r="AQ28" s="57"/>
      <c r="AR28" s="55"/>
      <c r="AS28" s="55"/>
      <c r="AT28" s="56"/>
      <c r="AU28" s="36"/>
      <c r="AV28" s="78"/>
    </row>
    <row r="29" spans="1:48" s="2" customFormat="1" ht="19.5" customHeight="1" x14ac:dyDescent="0.25">
      <c r="A29" s="58"/>
      <c r="B29" s="58"/>
      <c r="C29" s="59"/>
      <c r="D29" s="59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9"/>
      <c r="S29" s="59"/>
      <c r="T29" s="59"/>
      <c r="U29" s="61"/>
      <c r="V29" s="59"/>
      <c r="W29" s="62" t="s">
        <v>453</v>
      </c>
      <c r="X29" s="58"/>
      <c r="Y29" s="58"/>
      <c r="Z29" s="59"/>
      <c r="AA29" s="59"/>
      <c r="AB29" s="60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9"/>
      <c r="AR29" s="59"/>
      <c r="AS29" s="59"/>
      <c r="AT29" s="61"/>
      <c r="AU29" s="59"/>
      <c r="AV29" s="62" t="s">
        <v>453</v>
      </c>
    </row>
    <row r="30" spans="1:48" s="2" customFormat="1" ht="16.2" x14ac:dyDescent="0.35">
      <c r="A30" s="63"/>
      <c r="B30" s="63" t="s">
        <v>45</v>
      </c>
      <c r="C30" s="63"/>
      <c r="D30" s="63" t="s">
        <v>46</v>
      </c>
      <c r="E30" s="64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 t="s">
        <v>47</v>
      </c>
      <c r="R30" s="63"/>
      <c r="S30" s="63"/>
      <c r="T30" s="63"/>
      <c r="U30" s="63" t="s">
        <v>48</v>
      </c>
      <c r="V30" s="63"/>
      <c r="W30" s="63"/>
      <c r="X30" s="63"/>
      <c r="Y30" s="63" t="s">
        <v>45</v>
      </c>
      <c r="Z30" s="63"/>
      <c r="AA30" s="63" t="s">
        <v>46</v>
      </c>
      <c r="AB30" s="64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 t="s">
        <v>47</v>
      </c>
      <c r="AQ30" s="63"/>
      <c r="AR30" s="63"/>
      <c r="AS30" s="63"/>
      <c r="AT30" s="63" t="s">
        <v>48</v>
      </c>
      <c r="AU30" s="63"/>
      <c r="AV30" s="63"/>
    </row>
    <row r="31" spans="1:48" s="2" customFormat="1" ht="13.2" x14ac:dyDescent="0.25">
      <c r="E31" s="65"/>
      <c r="AB31" s="65"/>
    </row>
    <row r="32" spans="1:48" s="2" customFormat="1" ht="13.2" x14ac:dyDescent="0.25">
      <c r="E32" s="65"/>
      <c r="AB32" s="65"/>
    </row>
    <row r="33" spans="5:28" s="2" customFormat="1" ht="13.2" x14ac:dyDescent="0.25">
      <c r="E33" s="65"/>
      <c r="AB33" s="65"/>
    </row>
    <row r="34" spans="5:28" s="2" customFormat="1" ht="13.2" x14ac:dyDescent="0.25">
      <c r="E34" s="65"/>
      <c r="AB34" s="65"/>
    </row>
    <row r="35" spans="5:28" s="2" customFormat="1" ht="13.2" x14ac:dyDescent="0.25">
      <c r="E35" s="65"/>
      <c r="AB35" s="65"/>
    </row>
    <row r="36" spans="5:28" s="2" customFormat="1" ht="13.2" x14ac:dyDescent="0.25">
      <c r="E36" s="65"/>
      <c r="AB36" s="65"/>
    </row>
    <row r="37" spans="5:28" s="2" customFormat="1" ht="13.2" x14ac:dyDescent="0.25">
      <c r="E37" s="65"/>
      <c r="AB37" s="65"/>
    </row>
    <row r="38" spans="5:28" s="2" customFormat="1" ht="13.2" x14ac:dyDescent="0.25">
      <c r="E38" s="65"/>
      <c r="AB38" s="65"/>
    </row>
    <row r="39" spans="5:28" s="2" customFormat="1" ht="13.2" x14ac:dyDescent="0.25">
      <c r="E39" s="65"/>
      <c r="AB39" s="65"/>
    </row>
    <row r="40" spans="5:28" s="2" customFormat="1" ht="13.2" x14ac:dyDescent="0.25">
      <c r="E40" s="65"/>
      <c r="AB40" s="65"/>
    </row>
    <row r="41" spans="5:28" s="2" customFormat="1" ht="13.2" x14ac:dyDescent="0.25">
      <c r="E41" s="65"/>
      <c r="AB41" s="65"/>
    </row>
    <row r="42" spans="5:28" s="2" customFormat="1" ht="13.2" x14ac:dyDescent="0.25">
      <c r="E42" s="65"/>
      <c r="AB42" s="65"/>
    </row>
    <row r="43" spans="5:28" s="2" customFormat="1" ht="13.2" x14ac:dyDescent="0.25">
      <c r="E43" s="65"/>
      <c r="AB43" s="65"/>
    </row>
    <row r="44" spans="5:28" s="2" customFormat="1" ht="13.2" x14ac:dyDescent="0.25">
      <c r="E44" s="65"/>
      <c r="AB44" s="65"/>
    </row>
    <row r="45" spans="5:28" s="2" customFormat="1" ht="13.2" x14ac:dyDescent="0.25">
      <c r="E45" s="65"/>
      <c r="AB45" s="65"/>
    </row>
    <row r="46" spans="5:28" s="2" customFormat="1" ht="13.2" x14ac:dyDescent="0.25">
      <c r="E46" s="65"/>
      <c r="AB46" s="65"/>
    </row>
    <row r="47" spans="5:28" s="2" customFormat="1" ht="13.2" x14ac:dyDescent="0.25">
      <c r="E47" s="65"/>
      <c r="AB47" s="65"/>
    </row>
    <row r="48" spans="5:28" s="2" customFormat="1" ht="13.2" x14ac:dyDescent="0.25">
      <c r="E48" s="65"/>
      <c r="AB48" s="65"/>
    </row>
    <row r="49" spans="5:28" s="2" customFormat="1" ht="13.2" x14ac:dyDescent="0.25">
      <c r="E49" s="65"/>
      <c r="AB49" s="65"/>
    </row>
    <row r="50" spans="5:28" s="2" customFormat="1" ht="13.2" x14ac:dyDescent="0.25">
      <c r="E50" s="65"/>
      <c r="AB50" s="65"/>
    </row>
    <row r="51" spans="5:28" s="2" customFormat="1" ht="13.2" x14ac:dyDescent="0.25">
      <c r="E51" s="65"/>
      <c r="AB51" s="65"/>
    </row>
    <row r="52" spans="5:28" s="2" customFormat="1" ht="13.2" x14ac:dyDescent="0.25">
      <c r="E52" s="65"/>
      <c r="AB52" s="65"/>
    </row>
    <row r="53" spans="5:28" s="2" customFormat="1" ht="13.2" x14ac:dyDescent="0.25">
      <c r="E53" s="65"/>
      <c r="AB53" s="65"/>
    </row>
    <row r="54" spans="5:28" s="2" customFormat="1" ht="13.2" x14ac:dyDescent="0.25">
      <c r="E54" s="65"/>
      <c r="AB54" s="65"/>
    </row>
    <row r="55" spans="5:28" s="2" customFormat="1" ht="13.2" x14ac:dyDescent="0.25">
      <c r="E55" s="65"/>
      <c r="AB55" s="65"/>
    </row>
    <row r="56" spans="5:28" s="2" customFormat="1" ht="13.2" x14ac:dyDescent="0.25">
      <c r="E56" s="65"/>
      <c r="AB56" s="65"/>
    </row>
    <row r="57" spans="5:28" s="2" customFormat="1" ht="13.2" x14ac:dyDescent="0.25">
      <c r="E57" s="65"/>
      <c r="AB57" s="65"/>
    </row>
    <row r="58" spans="5:28" s="2" customFormat="1" ht="13.2" x14ac:dyDescent="0.25">
      <c r="E58" s="65"/>
      <c r="AB58" s="65"/>
    </row>
    <row r="59" spans="5:28" s="2" customFormat="1" ht="13.2" x14ac:dyDescent="0.25">
      <c r="E59" s="65"/>
      <c r="AB59" s="65"/>
    </row>
    <row r="60" spans="5:28" s="2" customFormat="1" ht="13.2" x14ac:dyDescent="0.25">
      <c r="E60" s="65"/>
      <c r="AB60" s="65"/>
    </row>
    <row r="61" spans="5:28" s="2" customFormat="1" ht="13.2" x14ac:dyDescent="0.25">
      <c r="E61" s="65"/>
      <c r="AB61" s="65"/>
    </row>
    <row r="62" spans="5:28" s="2" customFormat="1" ht="13.2" x14ac:dyDescent="0.25">
      <c r="E62" s="65"/>
      <c r="AB62" s="65"/>
    </row>
    <row r="63" spans="5:28" s="2" customFormat="1" ht="13.2" x14ac:dyDescent="0.25">
      <c r="E63" s="65"/>
      <c r="AB63" s="65"/>
    </row>
    <row r="64" spans="5:28" s="2" customFormat="1" ht="13.2" x14ac:dyDescent="0.25">
      <c r="E64" s="65"/>
      <c r="AB64" s="65"/>
    </row>
    <row r="65" spans="5:28" s="2" customFormat="1" ht="13.2" x14ac:dyDescent="0.25">
      <c r="E65" s="65"/>
      <c r="AB65" s="65"/>
    </row>
    <row r="66" spans="5:28" s="2" customFormat="1" ht="13.2" x14ac:dyDescent="0.25">
      <c r="E66" s="65"/>
      <c r="AB66" s="65"/>
    </row>
    <row r="67" spans="5:28" s="2" customFormat="1" ht="13.2" x14ac:dyDescent="0.25">
      <c r="E67" s="65"/>
      <c r="AB67" s="65"/>
    </row>
    <row r="68" spans="5:28" s="2" customFormat="1" ht="13.2" x14ac:dyDescent="0.25">
      <c r="E68" s="65"/>
      <c r="AB68" s="65"/>
    </row>
    <row r="69" spans="5:28" s="2" customFormat="1" ht="13.2" x14ac:dyDescent="0.25">
      <c r="E69" s="65"/>
      <c r="AB69" s="65"/>
    </row>
    <row r="70" spans="5:28" s="2" customFormat="1" ht="13.2" x14ac:dyDescent="0.25">
      <c r="E70" s="65"/>
      <c r="AB70" s="65"/>
    </row>
    <row r="71" spans="5:28" s="2" customFormat="1" ht="13.2" x14ac:dyDescent="0.25">
      <c r="E71" s="65"/>
      <c r="AB71" s="65"/>
    </row>
    <row r="72" spans="5:28" s="2" customFormat="1" ht="13.2" x14ac:dyDescent="0.25">
      <c r="E72" s="65"/>
      <c r="AB72" s="65"/>
    </row>
    <row r="73" spans="5:28" s="2" customFormat="1" ht="13.2" x14ac:dyDescent="0.25">
      <c r="E73" s="65"/>
      <c r="AB73" s="65"/>
    </row>
    <row r="74" spans="5:28" s="2" customFormat="1" ht="13.2" x14ac:dyDescent="0.25">
      <c r="E74" s="65"/>
      <c r="AB74" s="65"/>
    </row>
    <row r="75" spans="5:28" s="2" customFormat="1" ht="13.2" x14ac:dyDescent="0.25">
      <c r="E75" s="65"/>
      <c r="AB75" s="65"/>
    </row>
    <row r="76" spans="5:28" s="2" customFormat="1" ht="13.2" x14ac:dyDescent="0.25">
      <c r="E76" s="65"/>
      <c r="AB76" s="65"/>
    </row>
    <row r="77" spans="5:28" s="2" customFormat="1" ht="13.2" x14ac:dyDescent="0.25">
      <c r="E77" s="65"/>
      <c r="AB77" s="65"/>
    </row>
    <row r="78" spans="5:28" s="2" customFormat="1" ht="13.2" x14ac:dyDescent="0.25">
      <c r="E78" s="65"/>
      <c r="AB78" s="65"/>
    </row>
    <row r="79" spans="5:28" s="2" customFormat="1" ht="13.2" x14ac:dyDescent="0.25">
      <c r="E79" s="65"/>
      <c r="AB79" s="65"/>
    </row>
    <row r="80" spans="5:28" s="2" customFormat="1" ht="13.2" x14ac:dyDescent="0.25">
      <c r="E80" s="65"/>
      <c r="AB80" s="65"/>
    </row>
    <row r="81" spans="5:28" s="2" customFormat="1" ht="13.2" x14ac:dyDescent="0.25">
      <c r="E81" s="65"/>
      <c r="AB81" s="65"/>
    </row>
    <row r="82" spans="5:28" s="2" customFormat="1" ht="13.2" x14ac:dyDescent="0.25">
      <c r="E82" s="65"/>
      <c r="AB82" s="65"/>
    </row>
    <row r="83" spans="5:28" s="2" customFormat="1" ht="13.2" x14ac:dyDescent="0.25">
      <c r="E83" s="65"/>
      <c r="AB83" s="65"/>
    </row>
    <row r="84" spans="5:28" s="2" customFormat="1" ht="13.2" x14ac:dyDescent="0.25">
      <c r="E84" s="65"/>
      <c r="AB84" s="65"/>
    </row>
    <row r="85" spans="5:28" s="2" customFormat="1" ht="13.2" x14ac:dyDescent="0.25">
      <c r="E85" s="65"/>
      <c r="AB85" s="65"/>
    </row>
    <row r="86" spans="5:28" s="2" customFormat="1" ht="13.2" x14ac:dyDescent="0.25">
      <c r="E86" s="65"/>
      <c r="AB86" s="65"/>
    </row>
    <row r="87" spans="5:28" s="2" customFormat="1" ht="13.2" x14ac:dyDescent="0.25">
      <c r="E87" s="65"/>
      <c r="AB87" s="65"/>
    </row>
    <row r="88" spans="5:28" s="2" customFormat="1" ht="13.2" x14ac:dyDescent="0.25">
      <c r="E88" s="65"/>
      <c r="AB88" s="65"/>
    </row>
    <row r="89" spans="5:28" s="2" customFormat="1" ht="13.2" x14ac:dyDescent="0.25">
      <c r="E89" s="65"/>
      <c r="AB89" s="65"/>
    </row>
    <row r="90" spans="5:28" s="2" customFormat="1" ht="13.2" x14ac:dyDescent="0.25">
      <c r="E90" s="65"/>
      <c r="AB90" s="65"/>
    </row>
    <row r="91" spans="5:28" s="2" customFormat="1" ht="13.2" x14ac:dyDescent="0.25">
      <c r="E91" s="65"/>
      <c r="AB91" s="65"/>
    </row>
    <row r="92" spans="5:28" s="2" customFormat="1" ht="13.2" x14ac:dyDescent="0.25">
      <c r="E92" s="65"/>
      <c r="AB92" s="65"/>
    </row>
    <row r="93" spans="5:28" s="2" customFormat="1" ht="13.2" x14ac:dyDescent="0.25">
      <c r="E93" s="65"/>
      <c r="AB93" s="65"/>
    </row>
    <row r="94" spans="5:28" s="2" customFormat="1" ht="13.2" x14ac:dyDescent="0.25">
      <c r="E94" s="65"/>
      <c r="AB94" s="65"/>
    </row>
    <row r="95" spans="5:28" s="2" customFormat="1" ht="13.2" x14ac:dyDescent="0.25">
      <c r="E95" s="65"/>
      <c r="AB95" s="65"/>
    </row>
    <row r="96" spans="5:28" s="2" customFormat="1" ht="13.2" x14ac:dyDescent="0.25">
      <c r="E96" s="65"/>
      <c r="AB96" s="65"/>
    </row>
    <row r="97" spans="1:46" s="2" customFormat="1" ht="13.2" x14ac:dyDescent="0.25">
      <c r="E97" s="65"/>
      <c r="AB97" s="65"/>
    </row>
    <row r="98" spans="1:46" s="2" customFormat="1" ht="13.2" x14ac:dyDescent="0.25">
      <c r="E98" s="65"/>
      <c r="AB98" s="65"/>
    </row>
    <row r="99" spans="1:46" x14ac:dyDescent="0.25">
      <c r="A99" s="2"/>
      <c r="B99" s="2"/>
      <c r="C99" s="2"/>
      <c r="D99" s="2"/>
      <c r="E99" s="6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X99" s="2"/>
      <c r="Y99" s="2"/>
      <c r="Z99" s="2"/>
      <c r="AA99" s="2"/>
      <c r="AB99" s="65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 x14ac:dyDescent="0.25">
      <c r="A100" s="2"/>
      <c r="B100" s="2"/>
      <c r="C100" s="2"/>
      <c r="D100" s="2"/>
      <c r="E100" s="65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X100" s="2"/>
      <c r="Y100" s="2"/>
      <c r="Z100" s="2"/>
      <c r="AA100" s="2"/>
      <c r="AB100" s="65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 x14ac:dyDescent="0.25">
      <c r="A101" s="2"/>
      <c r="B101" s="2"/>
      <c r="C101" s="2"/>
      <c r="D101" s="2"/>
      <c r="E101" s="65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X101" s="2"/>
      <c r="Y101" s="2"/>
      <c r="Z101" s="2"/>
      <c r="AA101" s="2"/>
      <c r="AB101" s="65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</sheetData>
  <mergeCells count="4">
    <mergeCell ref="A1:W1"/>
    <mergeCell ref="A2:W2"/>
    <mergeCell ref="X1:AV1"/>
    <mergeCell ref="X2:AV2"/>
  </mergeCells>
  <phoneticPr fontId="2" type="noConversion"/>
  <printOptions horizontalCentered="1"/>
  <pageMargins left="0" right="0" top="0.5" bottom="0.5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AA32"/>
  <sheetViews>
    <sheetView zoomScaleNormal="100" workbookViewId="0">
      <pane xSplit="7" ySplit="5" topLeftCell="J6" activePane="bottomRight" state="frozen"/>
      <selection pane="topRight" activeCell="G1" sqref="G1"/>
      <selection pane="bottomLeft" activeCell="A6" sqref="A6"/>
      <selection pane="bottomRight" activeCell="V4" sqref="V4"/>
    </sheetView>
  </sheetViews>
  <sheetFormatPr defaultColWidth="9.109375" defaultRowHeight="13.8" x14ac:dyDescent="0.25"/>
  <cols>
    <col min="1" max="1" width="4" style="1" customWidth="1"/>
    <col min="2" max="2" width="5.109375" style="1" customWidth="1"/>
    <col min="3" max="3" width="15.5546875" style="1" customWidth="1"/>
    <col min="4" max="4" width="5.5546875" style="1" customWidth="1"/>
    <col min="5" max="5" width="7.6640625" style="1" customWidth="1"/>
    <col min="6" max="6" width="4.88671875" style="1" customWidth="1"/>
    <col min="7" max="7" width="10.6640625" style="1" hidden="1" customWidth="1"/>
    <col min="8" max="8" width="10.6640625" style="1" customWidth="1"/>
    <col min="9" max="9" width="10.6640625" style="1" hidden="1" customWidth="1"/>
    <col min="10" max="10" width="10.6640625" style="1" customWidth="1"/>
    <col min="11" max="11" width="11" style="1" hidden="1" customWidth="1"/>
    <col min="12" max="12" width="10.88671875" style="1" customWidth="1"/>
    <col min="13" max="13" width="7.88671875" style="1" hidden="1" customWidth="1"/>
    <col min="14" max="14" width="10.88671875" style="1" hidden="1" customWidth="1"/>
    <col min="15" max="15" width="8.6640625" style="1" hidden="1" customWidth="1"/>
    <col min="16" max="16" width="11.44140625" style="1" hidden="1" customWidth="1"/>
    <col min="17" max="17" width="8.6640625" style="1" hidden="1" customWidth="1"/>
    <col min="18" max="18" width="9.88671875" style="1" hidden="1" customWidth="1"/>
    <col min="19" max="19" width="11.33203125" style="1" customWidth="1"/>
    <col min="20" max="20" width="10.109375" style="1" customWidth="1"/>
    <col min="21" max="21" width="9" style="1" customWidth="1"/>
    <col min="22" max="22" width="10" style="1" customWidth="1"/>
    <col min="23" max="23" width="5.44140625" style="2" customWidth="1"/>
    <col min="24" max="24" width="11" style="2" customWidth="1"/>
    <col min="25" max="25" width="14.44140625" style="1" customWidth="1"/>
    <col min="26" max="26" width="22.33203125" style="1" bestFit="1" customWidth="1"/>
    <col min="27" max="27" width="9.88671875" style="1" bestFit="1" customWidth="1"/>
    <col min="28" max="16384" width="9.109375" style="1"/>
  </cols>
  <sheetData>
    <row r="1" spans="1:27" s="12" customFormat="1" ht="21" customHeight="1" x14ac:dyDescent="0.4">
      <c r="A1" s="167" t="s">
        <v>52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</row>
    <row r="2" spans="1:27" s="12" customFormat="1" ht="21" customHeight="1" x14ac:dyDescent="0.4">
      <c r="A2" s="167" t="s">
        <v>515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</row>
    <row r="3" spans="1:27" s="81" customFormat="1" ht="15.75" customHeight="1" x14ac:dyDescent="0.3">
      <c r="A3" s="76"/>
      <c r="B3" s="76"/>
      <c r="C3" s="80">
        <v>31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U3" s="76"/>
      <c r="V3" s="98">
        <v>26158</v>
      </c>
      <c r="Y3" s="18" t="s">
        <v>24</v>
      </c>
    </row>
    <row r="4" spans="1:27" s="24" customFormat="1" ht="15.75" customHeight="1" x14ac:dyDescent="0.25">
      <c r="A4" s="19" t="s">
        <v>0</v>
      </c>
      <c r="B4" s="19" t="s">
        <v>25</v>
      </c>
      <c r="C4" s="20" t="s">
        <v>26</v>
      </c>
      <c r="D4" s="20" t="s">
        <v>27</v>
      </c>
      <c r="E4" s="21" t="s">
        <v>28</v>
      </c>
      <c r="F4" s="19" t="s">
        <v>28</v>
      </c>
      <c r="G4" s="22"/>
      <c r="H4" s="19" t="s">
        <v>31</v>
      </c>
      <c r="I4" s="22"/>
      <c r="J4" s="19" t="s">
        <v>32</v>
      </c>
      <c r="K4" s="22"/>
      <c r="L4" s="19" t="s">
        <v>33</v>
      </c>
      <c r="M4" s="22"/>
      <c r="N4" s="19" t="s">
        <v>415</v>
      </c>
      <c r="O4" s="22"/>
      <c r="P4" s="19" t="s">
        <v>417</v>
      </c>
      <c r="Q4" s="22"/>
      <c r="R4" s="19" t="s">
        <v>50</v>
      </c>
      <c r="S4" s="19" t="s">
        <v>34</v>
      </c>
      <c r="T4" s="19" t="s">
        <v>64</v>
      </c>
      <c r="U4" s="23" t="s">
        <v>35</v>
      </c>
      <c r="V4" s="19" t="s">
        <v>36</v>
      </c>
      <c r="W4" s="19" t="s">
        <v>37</v>
      </c>
      <c r="X4" s="19" t="s">
        <v>51</v>
      </c>
      <c r="Y4" s="20" t="s">
        <v>1</v>
      </c>
    </row>
    <row r="5" spans="1:27" s="24" customFormat="1" ht="15.75" customHeight="1" x14ac:dyDescent="0.25">
      <c r="A5" s="25"/>
      <c r="B5" s="25"/>
      <c r="C5" s="26"/>
      <c r="D5" s="27" t="s">
        <v>2</v>
      </c>
      <c r="E5" s="28" t="s">
        <v>29</v>
      </c>
      <c r="F5" s="25" t="s">
        <v>30</v>
      </c>
      <c r="H5" s="25" t="s">
        <v>20</v>
      </c>
      <c r="J5" s="25" t="s">
        <v>38</v>
      </c>
      <c r="L5" s="25" t="s">
        <v>39</v>
      </c>
      <c r="N5" s="25" t="s">
        <v>416</v>
      </c>
      <c r="P5" s="25" t="s">
        <v>418</v>
      </c>
      <c r="R5" s="25" t="s">
        <v>70</v>
      </c>
      <c r="S5" s="25" t="s">
        <v>41</v>
      </c>
      <c r="T5" s="82" t="s">
        <v>63</v>
      </c>
      <c r="U5" s="82"/>
      <c r="V5" s="82" t="s">
        <v>42</v>
      </c>
      <c r="W5" s="25"/>
      <c r="X5" s="25" t="s">
        <v>43</v>
      </c>
      <c r="Y5" s="27" t="s">
        <v>44</v>
      </c>
    </row>
    <row r="6" spans="1:27" s="37" customFormat="1" ht="15" customHeight="1" x14ac:dyDescent="0.25">
      <c r="A6" s="30">
        <v>1</v>
      </c>
      <c r="B6" s="31">
        <v>1300</v>
      </c>
      <c r="C6" s="32" t="s">
        <v>329</v>
      </c>
      <c r="D6" s="30" t="s">
        <v>3</v>
      </c>
      <c r="E6" s="33">
        <v>45914</v>
      </c>
      <c r="F6" s="30">
        <v>31</v>
      </c>
      <c r="G6" s="30">
        <v>22230000</v>
      </c>
      <c r="H6" s="30">
        <f t="shared" ref="H6" si="0">ROUND(G6*F6/$C$3,0)</f>
        <v>22230000</v>
      </c>
      <c r="I6" s="30">
        <v>25308000</v>
      </c>
      <c r="J6" s="30">
        <f>ROUND(I6*F6/$C$3,0)</f>
        <v>25308000</v>
      </c>
      <c r="K6" s="30">
        <v>13680000</v>
      </c>
      <c r="L6" s="30">
        <f>ROUND(K6*F6/$C$3,0)</f>
        <v>13680000</v>
      </c>
      <c r="M6" s="30">
        <v>6882000</v>
      </c>
      <c r="N6" s="30">
        <f>ROUND(M6*F6/$C$3,0)</f>
        <v>6882000</v>
      </c>
      <c r="O6" s="30">
        <v>13480000</v>
      </c>
      <c r="P6" s="30">
        <f>ROUND(O6*F6/$C$3,0)</f>
        <v>13480000</v>
      </c>
      <c r="Q6" s="30">
        <v>12000000</v>
      </c>
      <c r="R6" s="30">
        <f>ROUND(Q6*F6/$C$3,0)</f>
        <v>12000000</v>
      </c>
      <c r="S6" s="30">
        <f>ROUND(H6+J6+L6+N6+P6+R6,0)</f>
        <v>93580000</v>
      </c>
      <c r="T6" s="30">
        <f>VLOOKUP(B6,'[1]Đi tàu'!$B$7:$F$119,5,FALSE)</f>
        <v>855000</v>
      </c>
      <c r="U6" s="34">
        <f>VLOOKUP(B6,[2]T3!$B$7:$F$116,5,FALSE)</f>
        <v>47500</v>
      </c>
      <c r="V6" s="30">
        <f t="shared" ref="V6:V13" si="1">ROUND(200*$V$3,0)</f>
        <v>5231600</v>
      </c>
      <c r="W6" s="34"/>
      <c r="X6" s="30">
        <f>ROUND(S6-T6-U6-V6-W6,0)</f>
        <v>87445900</v>
      </c>
      <c r="Y6" s="99"/>
      <c r="Z6" s="35"/>
      <c r="AA6" s="36"/>
    </row>
    <row r="7" spans="1:27" s="37" customFormat="1" ht="15" customHeight="1" x14ac:dyDescent="0.25">
      <c r="A7" s="30">
        <v>2</v>
      </c>
      <c r="B7" s="31">
        <v>1961</v>
      </c>
      <c r="C7" s="32" t="s">
        <v>330</v>
      </c>
      <c r="D7" s="30" t="s">
        <v>16</v>
      </c>
      <c r="E7" s="33">
        <v>45914</v>
      </c>
      <c r="F7" s="30">
        <v>31</v>
      </c>
      <c r="G7" s="30">
        <v>17160000</v>
      </c>
      <c r="H7" s="30">
        <f t="shared" ref="H7" si="2">ROUND(G7*F7/$C$3,0)</f>
        <v>17160000</v>
      </c>
      <c r="I7" s="30">
        <v>19536000</v>
      </c>
      <c r="J7" s="30">
        <f t="shared" ref="J7" si="3">ROUND(I7*F7/$C$3,0)</f>
        <v>19536000</v>
      </c>
      <c r="K7" s="30">
        <v>10560000</v>
      </c>
      <c r="L7" s="30">
        <f t="shared" ref="L7" si="4">ROUND(K7*F7/$C$3,0)</f>
        <v>10560000</v>
      </c>
      <c r="M7" s="30">
        <v>6354000</v>
      </c>
      <c r="N7" s="30">
        <f t="shared" ref="N7" si="5">ROUND(M7*F7/$C$3,0)</f>
        <v>6354000</v>
      </c>
      <c r="O7" s="30">
        <v>9000000</v>
      </c>
      <c r="P7" s="30">
        <f t="shared" ref="P7:P28" si="6">ROUND(O7*F7/$C$3,0)</f>
        <v>9000000</v>
      </c>
      <c r="Q7" s="30"/>
      <c r="R7" s="30"/>
      <c r="S7" s="30">
        <f t="shared" ref="S7:S28" si="7">ROUND(H7+J7+L7+N7+P7+R7,0)</f>
        <v>62610000</v>
      </c>
      <c r="T7" s="30">
        <f>VLOOKUP(B7,'[1]Đi tàu'!$B$7:$F$119,5,FALSE)</f>
        <v>720000</v>
      </c>
      <c r="U7" s="34">
        <f>VLOOKUP(B7,[2]T3!$B$7:$F$116,5,FALSE)</f>
        <v>40000</v>
      </c>
      <c r="V7" s="30">
        <f t="shared" si="1"/>
        <v>5231600</v>
      </c>
      <c r="W7" s="34"/>
      <c r="X7" s="30">
        <f t="shared" ref="X7" si="8">ROUND(S7-T7-U7-V7-W7,0)</f>
        <v>56618400</v>
      </c>
      <c r="Y7" s="99"/>
      <c r="Z7" s="35"/>
      <c r="AA7" s="36"/>
    </row>
    <row r="8" spans="1:27" s="37" customFormat="1" ht="15" customHeight="1" x14ac:dyDescent="0.25">
      <c r="A8" s="30">
        <v>3</v>
      </c>
      <c r="B8" s="31">
        <v>1811</v>
      </c>
      <c r="C8" s="32" t="s">
        <v>88</v>
      </c>
      <c r="D8" s="30" t="s">
        <v>4</v>
      </c>
      <c r="E8" s="33">
        <v>45728</v>
      </c>
      <c r="F8" s="30">
        <v>31</v>
      </c>
      <c r="G8" s="30">
        <v>11310000</v>
      </c>
      <c r="H8" s="30">
        <f t="shared" ref="H8" si="9">ROUND(G8*F8/$C$3,0)</f>
        <v>11310000</v>
      </c>
      <c r="I8" s="30">
        <v>12876000</v>
      </c>
      <c r="J8" s="30">
        <f t="shared" ref="J8" si="10">ROUND(I8*F8/$C$3,0)</f>
        <v>12876000</v>
      </c>
      <c r="K8" s="30">
        <v>6960000</v>
      </c>
      <c r="L8" s="30">
        <f t="shared" ref="L8" si="11">ROUND(K8*F8/$C$3,0)</f>
        <v>6960000</v>
      </c>
      <c r="M8" s="30">
        <v>6934000</v>
      </c>
      <c r="N8" s="30">
        <f t="shared" ref="N8" si="12">ROUND(M8*F8/$C$3,0)</f>
        <v>6934000</v>
      </c>
      <c r="O8" s="30">
        <v>2950000</v>
      </c>
      <c r="P8" s="30">
        <f t="shared" si="6"/>
        <v>2950000</v>
      </c>
      <c r="Q8" s="30"/>
      <c r="R8" s="30"/>
      <c r="S8" s="30">
        <f t="shared" si="7"/>
        <v>41030000</v>
      </c>
      <c r="T8" s="30">
        <f>VLOOKUP(B8,'[1]Đi tàu'!$B$7:$F$119,5,FALSE)</f>
        <v>675000</v>
      </c>
      <c r="U8" s="34">
        <f>VLOOKUP(B8,[2]T3!$B$7:$F$116,5,FALSE)</f>
        <v>37500</v>
      </c>
      <c r="V8" s="40">
        <f t="shared" si="1"/>
        <v>5231600</v>
      </c>
      <c r="W8" s="34"/>
      <c r="X8" s="30">
        <f t="shared" ref="X8" si="13">ROUND(S8-T8-U8-V8-W8,0)</f>
        <v>35085900</v>
      </c>
      <c r="Y8" s="99"/>
      <c r="Z8" s="35"/>
      <c r="AA8" s="36"/>
    </row>
    <row r="9" spans="1:27" s="37" customFormat="1" ht="15" customHeight="1" x14ac:dyDescent="0.25">
      <c r="A9" s="30">
        <v>4</v>
      </c>
      <c r="B9" s="68">
        <v>2425</v>
      </c>
      <c r="C9" s="69" t="s">
        <v>89</v>
      </c>
      <c r="D9" s="67" t="s">
        <v>5</v>
      </c>
      <c r="E9" s="73">
        <v>45728</v>
      </c>
      <c r="F9" s="30">
        <v>31</v>
      </c>
      <c r="G9" s="67">
        <v>10140000</v>
      </c>
      <c r="H9" s="30">
        <f t="shared" ref="H9" si="14">ROUND(G9*F9/$C$3,0)</f>
        <v>10140000</v>
      </c>
      <c r="I9" s="67">
        <v>11544000</v>
      </c>
      <c r="J9" s="30">
        <f t="shared" ref="J9" si="15">ROUND(I9*F9/$C$3,0)</f>
        <v>11544000</v>
      </c>
      <c r="K9" s="67">
        <v>6240000</v>
      </c>
      <c r="L9" s="30">
        <f t="shared" ref="L9" si="16">ROUND(K9*F9/$C$3,0)</f>
        <v>6240000</v>
      </c>
      <c r="M9" s="67">
        <v>6136000</v>
      </c>
      <c r="N9" s="30">
        <f t="shared" ref="N9" si="17">ROUND(M9*F9/$C$3,0)</f>
        <v>6136000</v>
      </c>
      <c r="O9" s="67">
        <v>3290000</v>
      </c>
      <c r="P9" s="30">
        <f t="shared" si="6"/>
        <v>3290000</v>
      </c>
      <c r="Q9" s="67"/>
      <c r="R9" s="30"/>
      <c r="S9" s="30">
        <f t="shared" si="7"/>
        <v>37350000</v>
      </c>
      <c r="T9" s="30">
        <f>VLOOKUP(B9,'[1]Đi tàu'!$B$7:$F$119,5,FALSE)</f>
        <v>630000</v>
      </c>
      <c r="U9" s="34">
        <f>VLOOKUP(B9,[2]T3!$B$7:$F$116,5,FALSE)</f>
        <v>35000</v>
      </c>
      <c r="V9" s="40">
        <f t="shared" si="1"/>
        <v>5231600</v>
      </c>
      <c r="W9" s="34"/>
      <c r="X9" s="30">
        <f t="shared" ref="X9" si="18">ROUND(S9-T9-U9-V9-W9,0)</f>
        <v>31453400</v>
      </c>
      <c r="Y9" s="101"/>
      <c r="Z9" s="35"/>
      <c r="AA9" s="36"/>
    </row>
    <row r="10" spans="1:27" s="37" customFormat="1" ht="15" customHeight="1" x14ac:dyDescent="0.25">
      <c r="A10" s="30">
        <v>5</v>
      </c>
      <c r="B10" s="68">
        <v>1463</v>
      </c>
      <c r="C10" s="69" t="s">
        <v>331</v>
      </c>
      <c r="D10" s="67" t="s">
        <v>6</v>
      </c>
      <c r="E10" s="73">
        <v>45914</v>
      </c>
      <c r="F10" s="30">
        <v>31</v>
      </c>
      <c r="G10" s="67">
        <v>20280000</v>
      </c>
      <c r="H10" s="30">
        <f t="shared" ref="H10" si="19">ROUND(G10*F10/$C$3,0)</f>
        <v>20280000</v>
      </c>
      <c r="I10" s="67">
        <v>23088000</v>
      </c>
      <c r="J10" s="30">
        <f t="shared" ref="J10" si="20">ROUND(I10*F10/$C$3,0)</f>
        <v>23088000</v>
      </c>
      <c r="K10" s="67">
        <v>12480000</v>
      </c>
      <c r="L10" s="30">
        <f t="shared" ref="L10" si="21">ROUND(K10*F10/$C$3,0)</f>
        <v>12480000</v>
      </c>
      <c r="M10" s="67">
        <v>2742000</v>
      </c>
      <c r="N10" s="30">
        <f t="shared" ref="N10" si="22">ROUND(M10*F10/$C$3,0)</f>
        <v>2742000</v>
      </c>
      <c r="O10" s="67">
        <v>13950000</v>
      </c>
      <c r="P10" s="30">
        <f t="shared" si="6"/>
        <v>13950000</v>
      </c>
      <c r="Q10" s="67">
        <v>10000000</v>
      </c>
      <c r="R10" s="30">
        <f>ROUND(Q10*F10/$C$3,0)</f>
        <v>10000000</v>
      </c>
      <c r="S10" s="30">
        <f t="shared" si="7"/>
        <v>82540000</v>
      </c>
      <c r="T10" s="30">
        <f>VLOOKUP(B10,'[1]Đi tàu'!$B$7:$F$119,5,FALSE)</f>
        <v>810000</v>
      </c>
      <c r="U10" s="34">
        <f>VLOOKUP(B10,[2]T3!$B$7:$F$116,5,FALSE)</f>
        <v>45000</v>
      </c>
      <c r="V10" s="30">
        <f t="shared" ref="V10:V11" si="23">ROUND(200*$V$3,0)</f>
        <v>5231600</v>
      </c>
      <c r="W10" s="34"/>
      <c r="X10" s="30">
        <f t="shared" ref="X10" si="24">ROUND(S10-T10-U10-V10-W10,0)</f>
        <v>76453400</v>
      </c>
      <c r="Y10" s="101"/>
      <c r="Z10" s="35"/>
      <c r="AA10" s="36"/>
    </row>
    <row r="11" spans="1:27" s="37" customFormat="1" ht="15" customHeight="1" x14ac:dyDescent="0.25">
      <c r="A11" s="30">
        <v>6</v>
      </c>
      <c r="B11" s="31">
        <v>1889</v>
      </c>
      <c r="C11" s="32" t="s">
        <v>138</v>
      </c>
      <c r="D11" s="30" t="s">
        <v>17</v>
      </c>
      <c r="E11" s="33">
        <v>45805</v>
      </c>
      <c r="F11" s="30">
        <v>31</v>
      </c>
      <c r="G11" s="30">
        <v>17160000</v>
      </c>
      <c r="H11" s="30">
        <f t="shared" ref="H11" si="25">ROUND(G11*F11/$C$3,0)</f>
        <v>17160000</v>
      </c>
      <c r="I11" s="30">
        <v>19536000</v>
      </c>
      <c r="J11" s="30">
        <f t="shared" ref="J11" si="26">ROUND(I11*F11/$C$3,0)</f>
        <v>19536000</v>
      </c>
      <c r="K11" s="30">
        <v>10560000</v>
      </c>
      <c r="L11" s="30">
        <f t="shared" ref="L11" si="27">ROUND(K11*F11/$C$3,0)</f>
        <v>10560000</v>
      </c>
      <c r="M11" s="30">
        <v>6354000</v>
      </c>
      <c r="N11" s="30">
        <f t="shared" ref="N11" si="28">ROUND(M11*F11/$C$3,0)</f>
        <v>6354000</v>
      </c>
      <c r="O11" s="30">
        <v>9000000</v>
      </c>
      <c r="P11" s="30">
        <f t="shared" si="6"/>
        <v>9000000</v>
      </c>
      <c r="Q11" s="30"/>
      <c r="R11" s="30"/>
      <c r="S11" s="30">
        <f t="shared" si="7"/>
        <v>62610000</v>
      </c>
      <c r="T11" s="30">
        <f>VLOOKUP(B11,'[1]Đi tàu'!$B$7:$F$119,5,FALSE)</f>
        <v>720000</v>
      </c>
      <c r="U11" s="34">
        <f>VLOOKUP(B11,[2]T3!$B$7:$F$116,5,FALSE)</f>
        <v>40000</v>
      </c>
      <c r="V11" s="30">
        <f t="shared" si="23"/>
        <v>5231600</v>
      </c>
      <c r="W11" s="34"/>
      <c r="X11" s="30">
        <f t="shared" ref="X11" si="29">ROUND(S11-T11-U11-V11-W11,0)</f>
        <v>56618400</v>
      </c>
      <c r="Y11" s="99"/>
      <c r="Z11" s="35"/>
      <c r="AA11" s="36"/>
    </row>
    <row r="12" spans="1:27" s="37" customFormat="1" ht="15" customHeight="1" x14ac:dyDescent="0.25">
      <c r="A12" s="30">
        <v>7</v>
      </c>
      <c r="B12" s="31">
        <v>2408</v>
      </c>
      <c r="C12" s="111" t="s">
        <v>90</v>
      </c>
      <c r="D12" s="30" t="s">
        <v>7</v>
      </c>
      <c r="E12" s="33">
        <v>45728</v>
      </c>
      <c r="F12" s="30">
        <v>31</v>
      </c>
      <c r="G12" s="30">
        <v>11310000</v>
      </c>
      <c r="H12" s="30">
        <f t="shared" ref="H12" si="30">ROUND(G12*F12/$C$3,0)</f>
        <v>11310000</v>
      </c>
      <c r="I12" s="30">
        <v>12876000</v>
      </c>
      <c r="J12" s="30">
        <f t="shared" ref="J12" si="31">ROUND(I12*F12/$C$3,0)</f>
        <v>12876000</v>
      </c>
      <c r="K12" s="30">
        <v>6960000</v>
      </c>
      <c r="L12" s="30">
        <f t="shared" ref="L12" si="32">ROUND(K12*F12/$C$3,0)</f>
        <v>6960000</v>
      </c>
      <c r="M12" s="30">
        <v>6934000</v>
      </c>
      <c r="N12" s="30">
        <f t="shared" ref="N12" si="33">ROUND(M12*F12/$C$3,0)</f>
        <v>6934000</v>
      </c>
      <c r="O12" s="30">
        <v>2950000</v>
      </c>
      <c r="P12" s="30">
        <f t="shared" si="6"/>
        <v>2950000</v>
      </c>
      <c r="Q12" s="30"/>
      <c r="R12" s="30"/>
      <c r="S12" s="30">
        <f t="shared" si="7"/>
        <v>41030000</v>
      </c>
      <c r="T12" s="30">
        <f>VLOOKUP(B12,'[1]Đi tàu'!$B$7:$F$119,5,FALSE)</f>
        <v>675000</v>
      </c>
      <c r="U12" s="34">
        <f>VLOOKUP(B12,[2]T3!$B$7:$F$116,5,FALSE)</f>
        <v>37500</v>
      </c>
      <c r="V12" s="40">
        <f t="shared" si="1"/>
        <v>5231600</v>
      </c>
      <c r="W12" s="34"/>
      <c r="X12" s="30">
        <f t="shared" ref="X12:X28" si="34">ROUND(S12-T12-U12-V12-W12,0)</f>
        <v>35085900</v>
      </c>
      <c r="Y12" s="99"/>
      <c r="Z12" s="35"/>
      <c r="AA12" s="36"/>
    </row>
    <row r="13" spans="1:27" s="37" customFormat="1" ht="15" customHeight="1" x14ac:dyDescent="0.25">
      <c r="A13" s="30">
        <v>8</v>
      </c>
      <c r="B13" s="68">
        <v>2431</v>
      </c>
      <c r="C13" s="69" t="s">
        <v>91</v>
      </c>
      <c r="D13" s="67" t="s">
        <v>8</v>
      </c>
      <c r="E13" s="73">
        <v>45728</v>
      </c>
      <c r="F13" s="30">
        <v>31</v>
      </c>
      <c r="G13" s="67">
        <v>10140000</v>
      </c>
      <c r="H13" s="30">
        <f t="shared" ref="H13" si="35">ROUND(G13*F13/$C$3,0)</f>
        <v>10140000</v>
      </c>
      <c r="I13" s="67">
        <v>11544000</v>
      </c>
      <c r="J13" s="30">
        <f t="shared" ref="J13" si="36">ROUND(I13*F13/$C$3,0)</f>
        <v>11544000</v>
      </c>
      <c r="K13" s="67">
        <v>6240000</v>
      </c>
      <c r="L13" s="30">
        <f t="shared" ref="L13" si="37">ROUND(K13*F13/$C$3,0)</f>
        <v>6240000</v>
      </c>
      <c r="M13" s="67">
        <v>6136000</v>
      </c>
      <c r="N13" s="30">
        <f t="shared" ref="N13" si="38">ROUND(M13*F13/$C$3,0)</f>
        <v>6136000</v>
      </c>
      <c r="O13" s="67">
        <v>3290000</v>
      </c>
      <c r="P13" s="30">
        <f t="shared" si="6"/>
        <v>3290000</v>
      </c>
      <c r="Q13" s="67"/>
      <c r="R13" s="30"/>
      <c r="S13" s="30">
        <f t="shared" si="7"/>
        <v>37350000</v>
      </c>
      <c r="T13" s="30">
        <f>VLOOKUP(B13,'[1]Đi tàu'!$B$7:$F$119,5,FALSE)</f>
        <v>630000</v>
      </c>
      <c r="U13" s="34">
        <f>VLOOKUP(B13,[2]T3!$B$7:$F$116,5,FALSE)</f>
        <v>35000</v>
      </c>
      <c r="V13" s="40">
        <f t="shared" si="1"/>
        <v>5231600</v>
      </c>
      <c r="W13" s="34"/>
      <c r="X13" s="30">
        <f t="shared" ref="X13" si="39">ROUND(S13-T13-U13-V13-W13,0)</f>
        <v>31453400</v>
      </c>
      <c r="Y13" s="101"/>
      <c r="Z13" s="35"/>
      <c r="AA13" s="36"/>
    </row>
    <row r="14" spans="1:27" s="37" customFormat="1" ht="15" customHeight="1" x14ac:dyDescent="0.25">
      <c r="A14" s="30">
        <v>9</v>
      </c>
      <c r="B14" s="31" t="s">
        <v>332</v>
      </c>
      <c r="C14" s="32" t="s">
        <v>333</v>
      </c>
      <c r="D14" s="30" t="s">
        <v>9</v>
      </c>
      <c r="E14" s="33">
        <v>45914</v>
      </c>
      <c r="F14" s="30">
        <v>31</v>
      </c>
      <c r="G14" s="30">
        <v>8385000</v>
      </c>
      <c r="H14" s="30">
        <f t="shared" ref="H14" si="40">ROUND(G14*F14/$C$3,0)</f>
        <v>8385000</v>
      </c>
      <c r="I14" s="30">
        <v>9546000</v>
      </c>
      <c r="J14" s="30">
        <f t="shared" ref="J14" si="41">ROUND(I14*F14/$C$3,0)</f>
        <v>9546000</v>
      </c>
      <c r="K14" s="30">
        <v>5160000</v>
      </c>
      <c r="L14" s="30">
        <f t="shared" ref="L14" si="42">ROUND(K14*F14/$C$3,0)</f>
        <v>5160000</v>
      </c>
      <c r="M14" s="30">
        <v>4909000</v>
      </c>
      <c r="N14" s="30">
        <f t="shared" ref="N14" si="43">ROUND(M14*F14/$C$3,0)</f>
        <v>4909000</v>
      </c>
      <c r="O14" s="30">
        <v>2800000</v>
      </c>
      <c r="P14" s="30">
        <f t="shared" si="6"/>
        <v>2800000</v>
      </c>
      <c r="Q14" s="30"/>
      <c r="R14" s="30"/>
      <c r="S14" s="30">
        <f t="shared" si="7"/>
        <v>30800000</v>
      </c>
      <c r="T14" s="30">
        <f>VLOOKUP(B14,'[1]Đi tàu'!$B$7:$F$119,5,FALSE)</f>
        <v>585000</v>
      </c>
      <c r="U14" s="34">
        <f>VLOOKUP(B14,[2]T3!$B$7:$F$116,5,FALSE)</f>
        <v>32500</v>
      </c>
      <c r="V14" s="30">
        <f>ROUND(100*$V$3,0)</f>
        <v>2615800</v>
      </c>
      <c r="W14" s="34"/>
      <c r="X14" s="30">
        <f t="shared" ref="X14" si="44">ROUND(S14-T14-U14-V14-W14,0)</f>
        <v>27566700</v>
      </c>
      <c r="Y14" s="99"/>
      <c r="Z14" s="35"/>
      <c r="AA14" s="36"/>
    </row>
    <row r="15" spans="1:27" s="37" customFormat="1" ht="15" customHeight="1" x14ac:dyDescent="0.25">
      <c r="A15" s="30">
        <v>10</v>
      </c>
      <c r="B15" s="31">
        <v>2755</v>
      </c>
      <c r="C15" s="32" t="s">
        <v>75</v>
      </c>
      <c r="D15" s="30" t="s">
        <v>10</v>
      </c>
      <c r="E15" s="33">
        <v>45914</v>
      </c>
      <c r="F15" s="30">
        <v>31</v>
      </c>
      <c r="G15" s="30">
        <v>6630000</v>
      </c>
      <c r="H15" s="30">
        <f t="shared" ref="H15" si="45">ROUND(G15*F15/$C$3,0)</f>
        <v>6630000</v>
      </c>
      <c r="I15" s="30">
        <v>7548000</v>
      </c>
      <c r="J15" s="30">
        <f t="shared" ref="J15" si="46">ROUND(I15*F15/$C$3,0)</f>
        <v>7548000</v>
      </c>
      <c r="K15" s="30">
        <v>4080000</v>
      </c>
      <c r="L15" s="30">
        <f t="shared" ref="L15" si="47">ROUND(K15*F15/$C$3,0)</f>
        <v>4080000</v>
      </c>
      <c r="M15" s="30">
        <v>4742000</v>
      </c>
      <c r="N15" s="30">
        <f t="shared" ref="N15" si="48">ROUND(M15*F15/$C$3,0)</f>
        <v>4742000</v>
      </c>
      <c r="O15" s="30">
        <v>2300000</v>
      </c>
      <c r="P15" s="30">
        <f>ROUND(O15*F15/$C$3,0)</f>
        <v>2300000</v>
      </c>
      <c r="Q15" s="30"/>
      <c r="R15" s="30"/>
      <c r="S15" s="30">
        <f>ROUND(H15+J15+L15+N15+P15+R15,0)</f>
        <v>25300000</v>
      </c>
      <c r="T15" s="30">
        <f>VLOOKUP(B15,'[1]Đi tàu'!$B$7:$F$119,5,FALSE)</f>
        <v>540000</v>
      </c>
      <c r="U15" s="34">
        <f>VLOOKUP(B15,[2]T3!$B$7:$F$116,5,FALSE)</f>
        <v>30000</v>
      </c>
      <c r="V15" s="30">
        <f t="shared" ref="V15:V28" si="49">ROUND(100*$V$3,0)</f>
        <v>2615800</v>
      </c>
      <c r="W15" s="34"/>
      <c r="X15" s="30">
        <f t="shared" ref="X15" si="50">ROUND(S15-T15-U15-V15-W15,0)</f>
        <v>22114200</v>
      </c>
      <c r="Y15" s="99"/>
      <c r="Z15" s="35"/>
    </row>
    <row r="16" spans="1:27" s="37" customFormat="1" ht="15" customHeight="1" x14ac:dyDescent="0.25">
      <c r="A16" s="30">
        <v>11</v>
      </c>
      <c r="B16" s="31">
        <v>2889</v>
      </c>
      <c r="C16" s="32" t="s">
        <v>93</v>
      </c>
      <c r="D16" s="30" t="s">
        <v>10</v>
      </c>
      <c r="E16" s="33">
        <v>45728</v>
      </c>
      <c r="F16" s="30">
        <v>31</v>
      </c>
      <c r="G16" s="30">
        <v>6630000</v>
      </c>
      <c r="H16" s="30">
        <f>ROUND(G16*F16/$C$3,0)</f>
        <v>6630000</v>
      </c>
      <c r="I16" s="30">
        <v>7548000</v>
      </c>
      <c r="J16" s="30">
        <f t="shared" ref="J16" si="51">ROUND(I16*F16/$C$3,0)</f>
        <v>7548000</v>
      </c>
      <c r="K16" s="30">
        <v>4080000</v>
      </c>
      <c r="L16" s="30">
        <f t="shared" ref="L16" si="52">ROUND(K16*F16/$C$3,0)</f>
        <v>4080000</v>
      </c>
      <c r="M16" s="30">
        <v>4742000</v>
      </c>
      <c r="N16" s="30">
        <f t="shared" ref="N16" si="53">ROUND(M16*F16/$C$3,0)</f>
        <v>4742000</v>
      </c>
      <c r="O16" s="30">
        <v>2300000</v>
      </c>
      <c r="P16" s="30">
        <f>ROUND(O16*F16/$C$3,0)</f>
        <v>2300000</v>
      </c>
      <c r="Q16" s="30"/>
      <c r="R16" s="30"/>
      <c r="S16" s="30">
        <f>ROUND(H16+J16+L16+N16+P16+R16,0)</f>
        <v>25300000</v>
      </c>
      <c r="T16" s="30">
        <f>VLOOKUP(B16,'[1]Đi tàu'!$B$7:$F$119,5,FALSE)</f>
        <v>540000</v>
      </c>
      <c r="U16" s="34">
        <f>VLOOKUP(B16,[2]T3!$B$7:$F$116,5,FALSE)</f>
        <v>30000</v>
      </c>
      <c r="V16" s="30">
        <f t="shared" si="49"/>
        <v>2615800</v>
      </c>
      <c r="W16" s="34"/>
      <c r="X16" s="30">
        <f t="shared" ref="X16" si="54">ROUND(S16-T16-U16-V16-W16,0)</f>
        <v>22114200</v>
      </c>
      <c r="Y16" s="99"/>
      <c r="Z16" s="35"/>
    </row>
    <row r="17" spans="1:27" s="37" customFormat="1" ht="15" customHeight="1" x14ac:dyDescent="0.25">
      <c r="A17" s="30">
        <v>12</v>
      </c>
      <c r="B17" s="31">
        <v>2575</v>
      </c>
      <c r="C17" s="32" t="s">
        <v>92</v>
      </c>
      <c r="D17" s="30" t="s">
        <v>10</v>
      </c>
      <c r="E17" s="33">
        <v>45728</v>
      </c>
      <c r="F17" s="30">
        <v>31</v>
      </c>
      <c r="G17" s="30">
        <v>6630000</v>
      </c>
      <c r="H17" s="30">
        <f t="shared" ref="H17" si="55">ROUND(G17*F17/$C$3,0)</f>
        <v>6630000</v>
      </c>
      <c r="I17" s="30">
        <v>7548000</v>
      </c>
      <c r="J17" s="30">
        <f t="shared" ref="J17" si="56">ROUND(I17*F17/$C$3,0)</f>
        <v>7548000</v>
      </c>
      <c r="K17" s="30">
        <v>4080000</v>
      </c>
      <c r="L17" s="30">
        <f t="shared" ref="L17" si="57">ROUND(K17*F17/$C$3,0)</f>
        <v>4080000</v>
      </c>
      <c r="M17" s="30">
        <v>4742000</v>
      </c>
      <c r="N17" s="30">
        <f t="shared" ref="N17" si="58">ROUND(M17*F17/$C$3,0)</f>
        <v>4742000</v>
      </c>
      <c r="O17" s="30">
        <v>2300000</v>
      </c>
      <c r="P17" s="30">
        <f t="shared" si="6"/>
        <v>2300000</v>
      </c>
      <c r="Q17" s="30"/>
      <c r="R17" s="30"/>
      <c r="S17" s="30">
        <f t="shared" si="7"/>
        <v>25300000</v>
      </c>
      <c r="T17" s="30">
        <f>VLOOKUP(B17,'[1]Đi tàu'!$B$7:$F$119,5,FALSE)</f>
        <v>540000</v>
      </c>
      <c r="U17" s="34">
        <f>VLOOKUP(B17,[2]T3!$B$7:$F$116,5,FALSE)</f>
        <v>30000</v>
      </c>
      <c r="V17" s="30">
        <f t="shared" si="49"/>
        <v>2615800</v>
      </c>
      <c r="W17" s="34"/>
      <c r="X17" s="30">
        <f t="shared" ref="X17" si="59">ROUND(S17-T17-U17-V17-W17,0)</f>
        <v>22114200</v>
      </c>
      <c r="Y17" s="99"/>
      <c r="Z17" s="35"/>
    </row>
    <row r="18" spans="1:27" s="37" customFormat="1" ht="15" customHeight="1" x14ac:dyDescent="0.25">
      <c r="A18" s="30">
        <v>13</v>
      </c>
      <c r="B18" s="31">
        <v>2896</v>
      </c>
      <c r="C18" s="32" t="s">
        <v>101</v>
      </c>
      <c r="D18" s="30" t="s">
        <v>10</v>
      </c>
      <c r="E18" s="33">
        <v>45728</v>
      </c>
      <c r="F18" s="30">
        <v>31</v>
      </c>
      <c r="G18" s="30">
        <v>6630000</v>
      </c>
      <c r="H18" s="30">
        <f t="shared" ref="H18" si="60">ROUND(G18*F18/$C$3,0)</f>
        <v>6630000</v>
      </c>
      <c r="I18" s="30">
        <v>7548000</v>
      </c>
      <c r="J18" s="30">
        <f t="shared" ref="J18" si="61">ROUND(I18*F18/$C$3,0)</f>
        <v>7548000</v>
      </c>
      <c r="K18" s="30">
        <v>4080000</v>
      </c>
      <c r="L18" s="30">
        <f t="shared" ref="L18" si="62">ROUND(K18*F18/$C$3,0)</f>
        <v>4080000</v>
      </c>
      <c r="M18" s="30">
        <v>4742000</v>
      </c>
      <c r="N18" s="30">
        <f t="shared" ref="N18" si="63">ROUND(M18*F18/$C$3,0)</f>
        <v>4742000</v>
      </c>
      <c r="O18" s="30">
        <v>2300000</v>
      </c>
      <c r="P18" s="30">
        <f t="shared" si="6"/>
        <v>2300000</v>
      </c>
      <c r="Q18" s="30"/>
      <c r="R18" s="30"/>
      <c r="S18" s="30">
        <f t="shared" si="7"/>
        <v>25300000</v>
      </c>
      <c r="T18" s="30">
        <f>VLOOKUP(B18,'[1]Đi tàu'!$B$7:$F$119,5,FALSE)</f>
        <v>540000</v>
      </c>
      <c r="U18" s="34">
        <f>VLOOKUP(B18,[2]T3!$B$7:$F$116,5,FALSE)</f>
        <v>30000</v>
      </c>
      <c r="V18" s="30">
        <f t="shared" si="49"/>
        <v>2615800</v>
      </c>
      <c r="W18" s="34"/>
      <c r="X18" s="30">
        <f t="shared" ref="X18" si="64">ROUND(S18-T18-U18-V18-W18,0)</f>
        <v>22114200</v>
      </c>
      <c r="Y18" s="99" t="s">
        <v>334</v>
      </c>
      <c r="Z18" s="35"/>
    </row>
    <row r="19" spans="1:27" s="37" customFormat="1" ht="15" customHeight="1" x14ac:dyDescent="0.25">
      <c r="A19" s="30">
        <v>14</v>
      </c>
      <c r="B19" s="31">
        <v>2868</v>
      </c>
      <c r="C19" s="32" t="s">
        <v>139</v>
      </c>
      <c r="D19" s="30" t="s">
        <v>11</v>
      </c>
      <c r="E19" s="33">
        <v>45805</v>
      </c>
      <c r="F19" s="30">
        <v>31</v>
      </c>
      <c r="G19" s="30">
        <v>5655000</v>
      </c>
      <c r="H19" s="30">
        <f t="shared" ref="H19" si="65">ROUND(G19*F19/$C$3,0)</f>
        <v>5655000</v>
      </c>
      <c r="I19" s="30">
        <v>6438000</v>
      </c>
      <c r="J19" s="30">
        <f t="shared" ref="J19" si="66">ROUND(I19*F19/$C$3,0)</f>
        <v>6438000</v>
      </c>
      <c r="K19" s="30">
        <v>3480000</v>
      </c>
      <c r="L19" s="30">
        <f t="shared" ref="L19" si="67">ROUND(K19*F19/$C$3,0)</f>
        <v>3480000</v>
      </c>
      <c r="M19" s="30">
        <v>2427000</v>
      </c>
      <c r="N19" s="30">
        <f t="shared" ref="N19" si="68">ROUND(M19*F19/$C$3,0)</f>
        <v>2427000</v>
      </c>
      <c r="O19" s="30">
        <v>2000000</v>
      </c>
      <c r="P19" s="30">
        <f>ROUND(O19*F19/$C$3,0)</f>
        <v>2000000</v>
      </c>
      <c r="Q19" s="30"/>
      <c r="R19" s="30"/>
      <c r="S19" s="30">
        <f>ROUND(H19+J19+L19+N19+P19+R19,0)</f>
        <v>20000000</v>
      </c>
      <c r="T19" s="30">
        <f>VLOOKUP(B19,'[1]Đi tàu'!$B$7:$F$119,5,FALSE)</f>
        <v>540000</v>
      </c>
      <c r="U19" s="34">
        <f>VLOOKUP(B19,[2]T3!$B$7:$F$116,5,FALSE)</f>
        <v>30000</v>
      </c>
      <c r="V19" s="30">
        <f t="shared" si="49"/>
        <v>2615800</v>
      </c>
      <c r="W19" s="34"/>
      <c r="X19" s="30">
        <f t="shared" ref="X19" si="69">ROUND(S19-T19-U19-V19-W19,0)</f>
        <v>16814200</v>
      </c>
      <c r="Y19" s="99"/>
      <c r="Z19" s="35"/>
    </row>
    <row r="20" spans="1:27" s="37" customFormat="1" ht="15" customHeight="1" x14ac:dyDescent="0.25">
      <c r="A20" s="30">
        <v>15</v>
      </c>
      <c r="B20" s="31" t="s">
        <v>140</v>
      </c>
      <c r="C20" s="32" t="s">
        <v>141</v>
      </c>
      <c r="D20" s="30" t="s">
        <v>11</v>
      </c>
      <c r="E20" s="33">
        <v>45805</v>
      </c>
      <c r="F20" s="30">
        <v>31</v>
      </c>
      <c r="G20" s="30">
        <v>5655000</v>
      </c>
      <c r="H20" s="30">
        <f t="shared" ref="H20" si="70">ROUND(G20*F20/$C$3,0)</f>
        <v>5655000</v>
      </c>
      <c r="I20" s="30">
        <v>6438000</v>
      </c>
      <c r="J20" s="30">
        <f t="shared" ref="J20" si="71">ROUND(I20*F20/$C$3,0)</f>
        <v>6438000</v>
      </c>
      <c r="K20" s="30">
        <v>3480000</v>
      </c>
      <c r="L20" s="30">
        <f t="shared" ref="L20" si="72">ROUND(K20*F20/$C$3,0)</f>
        <v>3480000</v>
      </c>
      <c r="M20" s="30">
        <v>2427000</v>
      </c>
      <c r="N20" s="30">
        <f t="shared" ref="N20" si="73">ROUND(M20*F20/$C$3,0)</f>
        <v>2427000</v>
      </c>
      <c r="O20" s="30">
        <v>2000000</v>
      </c>
      <c r="P20" s="30">
        <f t="shared" si="6"/>
        <v>2000000</v>
      </c>
      <c r="Q20" s="30"/>
      <c r="R20" s="30"/>
      <c r="S20" s="30">
        <f t="shared" si="7"/>
        <v>20000000</v>
      </c>
      <c r="T20" s="30">
        <f>VLOOKUP(B20,'[1]Đi tàu'!$B$7:$F$119,5,FALSE)</f>
        <v>1650000</v>
      </c>
      <c r="U20" s="34"/>
      <c r="V20" s="30">
        <f t="shared" si="49"/>
        <v>2615800</v>
      </c>
      <c r="W20" s="34"/>
      <c r="X20" s="30">
        <f t="shared" ref="X20" si="74">ROUND(S20-T20-U20-V20-W20,0)</f>
        <v>15734200</v>
      </c>
      <c r="Y20" s="99" t="s">
        <v>334</v>
      </c>
      <c r="Z20" s="35"/>
    </row>
    <row r="21" spans="1:27" s="37" customFormat="1" ht="15" customHeight="1" x14ac:dyDescent="0.25">
      <c r="A21" s="30">
        <v>16</v>
      </c>
      <c r="B21" s="31">
        <v>2744</v>
      </c>
      <c r="C21" s="32" t="s">
        <v>94</v>
      </c>
      <c r="D21" s="30" t="s">
        <v>12</v>
      </c>
      <c r="E21" s="33">
        <v>45728</v>
      </c>
      <c r="F21" s="30">
        <v>31</v>
      </c>
      <c r="G21" s="30">
        <v>8385000</v>
      </c>
      <c r="H21" s="30">
        <f>ROUND(G21*F21/$C$3,0)</f>
        <v>8385000</v>
      </c>
      <c r="I21" s="30">
        <v>9546000</v>
      </c>
      <c r="J21" s="30">
        <f t="shared" ref="J21" si="75">ROUND(I21*F21/$C$3,0)</f>
        <v>9546000</v>
      </c>
      <c r="K21" s="30">
        <v>5160000</v>
      </c>
      <c r="L21" s="30">
        <f t="shared" ref="L21" si="76">ROUND(K21*F21/$C$3,0)</f>
        <v>5160000</v>
      </c>
      <c r="M21" s="30">
        <v>4909000</v>
      </c>
      <c r="N21" s="30">
        <f t="shared" ref="N21" si="77">ROUND(M21*F21/$C$3,0)</f>
        <v>4909000</v>
      </c>
      <c r="O21" s="30">
        <v>2800000</v>
      </c>
      <c r="P21" s="30">
        <f t="shared" si="6"/>
        <v>2800000</v>
      </c>
      <c r="Q21" s="30"/>
      <c r="R21" s="30"/>
      <c r="S21" s="30">
        <f t="shared" si="7"/>
        <v>30800000</v>
      </c>
      <c r="T21" s="30">
        <f>VLOOKUP(B21,'[1]Đi tàu'!$B$7:$F$119,5,FALSE)</f>
        <v>585000</v>
      </c>
      <c r="U21" s="34">
        <f>VLOOKUP(B21,[2]T3!$B$7:$F$116,5,FALSE)</f>
        <v>32500</v>
      </c>
      <c r="V21" s="30">
        <f t="shared" si="49"/>
        <v>2615800</v>
      </c>
      <c r="W21" s="34"/>
      <c r="X21" s="30">
        <f t="shared" ref="X21" si="78">ROUND(S21-T21-U21-V21-W21,0)</f>
        <v>27566700</v>
      </c>
      <c r="Y21" s="99"/>
      <c r="Z21" s="35"/>
      <c r="AA21" s="36"/>
    </row>
    <row r="22" spans="1:27" s="37" customFormat="1" ht="15" customHeight="1" x14ac:dyDescent="0.25">
      <c r="A22" s="30">
        <v>17</v>
      </c>
      <c r="B22" s="31">
        <v>2881</v>
      </c>
      <c r="C22" s="32" t="s">
        <v>95</v>
      </c>
      <c r="D22" s="30" t="s">
        <v>13</v>
      </c>
      <c r="E22" s="33">
        <v>45728</v>
      </c>
      <c r="F22" s="30">
        <v>31</v>
      </c>
      <c r="G22" s="30">
        <v>6630000</v>
      </c>
      <c r="H22" s="30">
        <f t="shared" ref="H22" si="79">ROUND(G22*F22/$C$3,0)</f>
        <v>6630000</v>
      </c>
      <c r="I22" s="30">
        <v>7548000</v>
      </c>
      <c r="J22" s="30">
        <f t="shared" ref="J22" si="80">ROUND(I22*F22/$C$3,0)</f>
        <v>7548000</v>
      </c>
      <c r="K22" s="30">
        <v>4080000</v>
      </c>
      <c r="L22" s="30">
        <f t="shared" ref="L22" si="81">ROUND(K22*F22/$C$3,0)</f>
        <v>4080000</v>
      </c>
      <c r="M22" s="30">
        <v>4742000</v>
      </c>
      <c r="N22" s="30">
        <f t="shared" ref="N22" si="82">ROUND(M22*F22/$C$3,0)</f>
        <v>4742000</v>
      </c>
      <c r="O22" s="30">
        <v>2300000</v>
      </c>
      <c r="P22" s="30">
        <f t="shared" si="6"/>
        <v>2300000</v>
      </c>
      <c r="Q22" s="30"/>
      <c r="R22" s="30"/>
      <c r="S22" s="30">
        <f t="shared" si="7"/>
        <v>25300000</v>
      </c>
      <c r="T22" s="30">
        <f>VLOOKUP(B22,'[1]Đi tàu'!$B$7:$F$119,5,FALSE)</f>
        <v>540000</v>
      </c>
      <c r="U22" s="34">
        <f>VLOOKUP(B22,[2]T3!$B$7:$F$116,5,FALSE)</f>
        <v>30000</v>
      </c>
      <c r="V22" s="30">
        <f t="shared" si="49"/>
        <v>2615800</v>
      </c>
      <c r="W22" s="34"/>
      <c r="X22" s="30">
        <f t="shared" ref="X22" si="83">ROUND(S22-T22-U22-V22-W22,0)</f>
        <v>22114200</v>
      </c>
      <c r="Y22" s="99"/>
      <c r="Z22" s="35"/>
    </row>
    <row r="23" spans="1:27" s="37" customFormat="1" ht="15" customHeight="1" x14ac:dyDescent="0.25">
      <c r="A23" s="30">
        <v>18</v>
      </c>
      <c r="B23" s="31">
        <v>2864</v>
      </c>
      <c r="C23" s="32" t="s">
        <v>96</v>
      </c>
      <c r="D23" s="30" t="s">
        <v>13</v>
      </c>
      <c r="E23" s="33">
        <v>45728</v>
      </c>
      <c r="F23" s="30">
        <v>31</v>
      </c>
      <c r="G23" s="30">
        <v>6630000</v>
      </c>
      <c r="H23" s="30">
        <f t="shared" ref="H23" si="84">ROUND(G23*F23/$C$3,0)</f>
        <v>6630000</v>
      </c>
      <c r="I23" s="30">
        <v>7548000</v>
      </c>
      <c r="J23" s="30">
        <f t="shared" ref="J23" si="85">ROUND(I23*F23/$C$3,0)</f>
        <v>7548000</v>
      </c>
      <c r="K23" s="30">
        <v>4080000</v>
      </c>
      <c r="L23" s="30">
        <f t="shared" ref="L23" si="86">ROUND(K23*F23/$C$3,0)</f>
        <v>4080000</v>
      </c>
      <c r="M23" s="30">
        <v>4742000</v>
      </c>
      <c r="N23" s="30">
        <f t="shared" ref="N23" si="87">ROUND(M23*F23/$C$3,0)</f>
        <v>4742000</v>
      </c>
      <c r="O23" s="30">
        <v>2300000</v>
      </c>
      <c r="P23" s="30">
        <f t="shared" si="6"/>
        <v>2300000</v>
      </c>
      <c r="Q23" s="30"/>
      <c r="R23" s="30"/>
      <c r="S23" s="30">
        <f t="shared" si="7"/>
        <v>25300000</v>
      </c>
      <c r="T23" s="30">
        <f>VLOOKUP(B23,'[1]Đi tàu'!$B$7:$F$119,5,FALSE)</f>
        <v>540000</v>
      </c>
      <c r="U23" s="34">
        <f>VLOOKUP(B23,[2]T3!$B$7:$F$116,5,FALSE)</f>
        <v>30000</v>
      </c>
      <c r="V23" s="30">
        <f t="shared" si="49"/>
        <v>2615800</v>
      </c>
      <c r="W23" s="34"/>
      <c r="X23" s="30">
        <f t="shared" si="34"/>
        <v>22114200</v>
      </c>
      <c r="Y23" s="99"/>
      <c r="Z23" s="35"/>
    </row>
    <row r="24" spans="1:27" s="37" customFormat="1" ht="15" customHeight="1" x14ac:dyDescent="0.25">
      <c r="A24" s="30">
        <v>19</v>
      </c>
      <c r="B24" s="31">
        <v>2882</v>
      </c>
      <c r="C24" s="32" t="s">
        <v>97</v>
      </c>
      <c r="D24" s="30" t="s">
        <v>13</v>
      </c>
      <c r="E24" s="33">
        <v>45728</v>
      </c>
      <c r="F24" s="30">
        <v>31</v>
      </c>
      <c r="G24" s="30">
        <v>6630000</v>
      </c>
      <c r="H24" s="30">
        <f t="shared" ref="H24:H25" si="88">ROUND(G24*F24/$C$3,0)</f>
        <v>6630000</v>
      </c>
      <c r="I24" s="30">
        <v>7548000</v>
      </c>
      <c r="J24" s="30">
        <f t="shared" ref="J24:J25" si="89">ROUND(I24*F24/$C$3,0)</f>
        <v>7548000</v>
      </c>
      <c r="K24" s="30">
        <v>4080000</v>
      </c>
      <c r="L24" s="30">
        <f t="shared" ref="L24:L25" si="90">ROUND(K24*F24/$C$3,0)</f>
        <v>4080000</v>
      </c>
      <c r="M24" s="30">
        <v>4742000</v>
      </c>
      <c r="N24" s="30">
        <f t="shared" ref="N24:N25" si="91">ROUND(M24*F24/$C$3,0)</f>
        <v>4742000</v>
      </c>
      <c r="O24" s="30">
        <v>2300000</v>
      </c>
      <c r="P24" s="30">
        <f t="shared" si="6"/>
        <v>2300000</v>
      </c>
      <c r="Q24" s="30"/>
      <c r="R24" s="30"/>
      <c r="S24" s="30">
        <f t="shared" si="7"/>
        <v>25300000</v>
      </c>
      <c r="T24" s="30">
        <f>VLOOKUP(B24,'[1]Đi tàu'!$B$7:$F$119,5,FALSE)</f>
        <v>540000</v>
      </c>
      <c r="U24" s="34">
        <f>VLOOKUP(B24,[2]T3!$B$7:$F$116,5,FALSE)</f>
        <v>30000</v>
      </c>
      <c r="V24" s="30">
        <f t="shared" si="49"/>
        <v>2615800</v>
      </c>
      <c r="W24" s="34"/>
      <c r="X24" s="30">
        <f t="shared" ref="X24:X25" si="92">ROUND(S24-T24-U24-V24-W24,0)</f>
        <v>22114200</v>
      </c>
      <c r="Y24" s="99"/>
      <c r="Z24" s="35"/>
    </row>
    <row r="25" spans="1:27" s="37" customFormat="1" ht="15" customHeight="1" x14ac:dyDescent="0.25">
      <c r="A25" s="30">
        <v>20</v>
      </c>
      <c r="B25" s="31">
        <v>2914</v>
      </c>
      <c r="C25" s="32" t="s">
        <v>98</v>
      </c>
      <c r="D25" s="30" t="s">
        <v>13</v>
      </c>
      <c r="E25" s="33">
        <v>45728</v>
      </c>
      <c r="F25" s="30">
        <v>31</v>
      </c>
      <c r="G25" s="30">
        <v>6630000</v>
      </c>
      <c r="H25" s="30">
        <f t="shared" si="88"/>
        <v>6630000</v>
      </c>
      <c r="I25" s="30">
        <v>7548000</v>
      </c>
      <c r="J25" s="30">
        <f t="shared" si="89"/>
        <v>7548000</v>
      </c>
      <c r="K25" s="30">
        <v>4080000</v>
      </c>
      <c r="L25" s="30">
        <f t="shared" si="90"/>
        <v>4080000</v>
      </c>
      <c r="M25" s="30">
        <v>4742000</v>
      </c>
      <c r="N25" s="30">
        <f t="shared" si="91"/>
        <v>4742000</v>
      </c>
      <c r="O25" s="30">
        <v>2300000</v>
      </c>
      <c r="P25" s="30">
        <f t="shared" si="6"/>
        <v>2300000</v>
      </c>
      <c r="Q25" s="30"/>
      <c r="R25" s="30"/>
      <c r="S25" s="30">
        <f t="shared" si="7"/>
        <v>25300000</v>
      </c>
      <c r="T25" s="30">
        <f>VLOOKUP(B25,'[1]Đi tàu'!$B$7:$F$119,5,FALSE)</f>
        <v>540000</v>
      </c>
      <c r="U25" s="34">
        <f>VLOOKUP(B25,[2]T3!$B$7:$F$116,5,FALSE)</f>
        <v>30000</v>
      </c>
      <c r="V25" s="30">
        <f t="shared" si="49"/>
        <v>2615800</v>
      </c>
      <c r="W25" s="34"/>
      <c r="X25" s="30">
        <f t="shared" si="92"/>
        <v>22114200</v>
      </c>
      <c r="Y25" s="99" t="s">
        <v>428</v>
      </c>
      <c r="Z25" s="35"/>
    </row>
    <row r="26" spans="1:27" s="37" customFormat="1" ht="15" customHeight="1" x14ac:dyDescent="0.25">
      <c r="A26" s="30">
        <v>21</v>
      </c>
      <c r="B26" s="31">
        <v>2158</v>
      </c>
      <c r="C26" s="32" t="s">
        <v>336</v>
      </c>
      <c r="D26" s="30" t="s">
        <v>13</v>
      </c>
      <c r="E26" s="33">
        <v>45914</v>
      </c>
      <c r="F26" s="30">
        <v>31</v>
      </c>
      <c r="G26" s="30">
        <v>6630000</v>
      </c>
      <c r="H26" s="30">
        <f t="shared" ref="H26" si="93">ROUND(G26*F26/$C$3,0)</f>
        <v>6630000</v>
      </c>
      <c r="I26" s="30">
        <v>7548000</v>
      </c>
      <c r="J26" s="30">
        <f t="shared" ref="J26" si="94">ROUND(I26*F26/$C$3,0)</f>
        <v>7548000</v>
      </c>
      <c r="K26" s="30">
        <v>4080000</v>
      </c>
      <c r="L26" s="30">
        <f t="shared" ref="L26" si="95">ROUND(K26*F26/$C$3,0)</f>
        <v>4080000</v>
      </c>
      <c r="M26" s="30">
        <v>4742000</v>
      </c>
      <c r="N26" s="30">
        <f t="shared" ref="N26" si="96">ROUND(M26*F26/$C$3,0)</f>
        <v>4742000</v>
      </c>
      <c r="O26" s="30">
        <v>2300000</v>
      </c>
      <c r="P26" s="30">
        <f t="shared" ref="P26" si="97">ROUND(O26*F26/$C$3,0)</f>
        <v>2300000</v>
      </c>
      <c r="Q26" s="30"/>
      <c r="R26" s="30"/>
      <c r="S26" s="30">
        <f t="shared" ref="S26" si="98">ROUND(H26+J26+L26+N26+P26+R26,0)</f>
        <v>25300000</v>
      </c>
      <c r="T26" s="30">
        <f>VLOOKUP(B26,'[1]Đi tàu'!$B$7:$F$119,5,FALSE)</f>
        <v>630000</v>
      </c>
      <c r="U26" s="34">
        <f>VLOOKUP(B26,[2]T3!$B$7:$F$116,5,FALSE)</f>
        <v>35000</v>
      </c>
      <c r="V26" s="30">
        <f t="shared" si="49"/>
        <v>2615800</v>
      </c>
      <c r="W26" s="34"/>
      <c r="X26" s="30">
        <f t="shared" ref="X26" si="99">ROUND(S26-T26-U26-V26-W26,0)</f>
        <v>22019200</v>
      </c>
      <c r="Y26" s="99" t="s">
        <v>450</v>
      </c>
      <c r="Z26" s="35"/>
    </row>
    <row r="27" spans="1:27" s="37" customFormat="1" ht="15" customHeight="1" x14ac:dyDescent="0.25">
      <c r="A27" s="30">
        <v>22</v>
      </c>
      <c r="B27" s="68">
        <v>1407</v>
      </c>
      <c r="C27" s="69" t="s">
        <v>99</v>
      </c>
      <c r="D27" s="67" t="s">
        <v>14</v>
      </c>
      <c r="E27" s="73">
        <v>45728</v>
      </c>
      <c r="F27" s="30">
        <v>31</v>
      </c>
      <c r="G27" s="67">
        <v>8385000</v>
      </c>
      <c r="H27" s="30">
        <f>ROUND(G27*F27/$C$3,0)</f>
        <v>8385000</v>
      </c>
      <c r="I27" s="67">
        <v>9546000</v>
      </c>
      <c r="J27" s="30">
        <f t="shared" ref="J27" si="100">ROUND(I27*F27/$C$3,0)</f>
        <v>9546000</v>
      </c>
      <c r="K27" s="67">
        <v>5160000</v>
      </c>
      <c r="L27" s="30">
        <f t="shared" ref="L27" si="101">ROUND(K27*F27/$C$3,0)</f>
        <v>5160000</v>
      </c>
      <c r="M27" s="67">
        <v>4909000</v>
      </c>
      <c r="N27" s="30">
        <f t="shared" ref="N27" si="102">ROUND(M27*F27/$C$3,0)</f>
        <v>4909000</v>
      </c>
      <c r="O27" s="67">
        <v>2800000</v>
      </c>
      <c r="P27" s="30">
        <f t="shared" si="6"/>
        <v>2800000</v>
      </c>
      <c r="Q27" s="67"/>
      <c r="R27" s="30"/>
      <c r="S27" s="30">
        <f t="shared" si="7"/>
        <v>30800000</v>
      </c>
      <c r="T27" s="30">
        <f>VLOOKUP(B27,'[1]Đi tàu'!$B$7:$F$119,5,FALSE)</f>
        <v>585000</v>
      </c>
      <c r="U27" s="34">
        <f>VLOOKUP(B27,[2]T3!$B$7:$F$116,5,FALSE)</f>
        <v>32500</v>
      </c>
      <c r="V27" s="30">
        <f t="shared" si="49"/>
        <v>2615800</v>
      </c>
      <c r="W27" s="34"/>
      <c r="X27" s="30">
        <f t="shared" ref="X27" si="103">ROUND(S27-T27-U27-V27-W27,0)</f>
        <v>27566700</v>
      </c>
      <c r="Y27" s="101"/>
      <c r="Z27" s="35"/>
      <c r="AA27" s="36"/>
    </row>
    <row r="28" spans="1:27" s="37" customFormat="1" ht="15" customHeight="1" x14ac:dyDescent="0.25">
      <c r="A28" s="30">
        <v>23</v>
      </c>
      <c r="B28" s="31">
        <v>2880</v>
      </c>
      <c r="C28" s="32" t="s">
        <v>335</v>
      </c>
      <c r="D28" s="30" t="s">
        <v>15</v>
      </c>
      <c r="E28" s="33">
        <v>45914</v>
      </c>
      <c r="F28" s="30">
        <v>31</v>
      </c>
      <c r="G28" s="30">
        <v>5655000</v>
      </c>
      <c r="H28" s="30">
        <f t="shared" ref="H28" si="104">ROUND(G28*F28/$C$3,0)</f>
        <v>5655000</v>
      </c>
      <c r="I28" s="30">
        <v>6438000</v>
      </c>
      <c r="J28" s="30">
        <f t="shared" ref="J28" si="105">ROUND(I28*F28/$C$3,0)</f>
        <v>6438000</v>
      </c>
      <c r="K28" s="30">
        <v>3480000</v>
      </c>
      <c r="L28" s="30">
        <f t="shared" ref="L28" si="106">ROUND(K28*F28/$C$3,0)</f>
        <v>3480000</v>
      </c>
      <c r="M28" s="30">
        <v>1427000</v>
      </c>
      <c r="N28" s="30">
        <f t="shared" ref="N28" si="107">ROUND(M28*F28/$C$3,0)</f>
        <v>1427000</v>
      </c>
      <c r="O28" s="30">
        <v>1700000</v>
      </c>
      <c r="P28" s="30">
        <f t="shared" si="6"/>
        <v>1700000</v>
      </c>
      <c r="Q28" s="30">
        <v>6050000</v>
      </c>
      <c r="R28" s="30">
        <f>ROUND(Q28*F28/$C$3,0)</f>
        <v>6050000</v>
      </c>
      <c r="S28" s="30">
        <f t="shared" si="7"/>
        <v>24750000</v>
      </c>
      <c r="T28" s="30">
        <f>VLOOKUP(B28,'[1]Đi tàu'!$B$7:$F$119,5,FALSE)</f>
        <v>540000</v>
      </c>
      <c r="U28" s="34">
        <f>VLOOKUP(B28,[2]T3!$B$7:$F$116,5,FALSE)</f>
        <v>30000</v>
      </c>
      <c r="V28" s="30">
        <f t="shared" si="49"/>
        <v>2615800</v>
      </c>
      <c r="W28" s="34"/>
      <c r="X28" s="30">
        <f t="shared" si="34"/>
        <v>21564200</v>
      </c>
      <c r="Y28" s="99" t="s">
        <v>541</v>
      </c>
      <c r="Z28" s="35"/>
    </row>
    <row r="29" spans="1:27" s="49" customFormat="1" ht="19.5" customHeight="1" x14ac:dyDescent="0.25">
      <c r="A29" s="74"/>
      <c r="B29" s="43"/>
      <c r="C29" s="44" t="s">
        <v>21</v>
      </c>
      <c r="D29" s="43"/>
      <c r="E29" s="43"/>
      <c r="F29" s="84">
        <f>SUM(F6:F28)</f>
        <v>713</v>
      </c>
      <c r="G29" s="42"/>
      <c r="H29" s="42">
        <f>SUM(H6:H28)</f>
        <v>221520000</v>
      </c>
      <c r="I29" s="42"/>
      <c r="J29" s="42">
        <f>SUM(J6:J28)</f>
        <v>252192000</v>
      </c>
      <c r="K29" s="42"/>
      <c r="L29" s="42">
        <f>SUM(L6:L28)</f>
        <v>136320000</v>
      </c>
      <c r="M29" s="42"/>
      <c r="N29" s="42">
        <f>SUM(N6:N28)</f>
        <v>112158000</v>
      </c>
      <c r="O29" s="42"/>
      <c r="P29" s="42">
        <f>SUM(P6:P28)</f>
        <v>92710000</v>
      </c>
      <c r="Q29" s="42"/>
      <c r="R29" s="42">
        <f>SUM(R6:R28)</f>
        <v>28050000</v>
      </c>
      <c r="S29" s="42">
        <f t="shared" ref="S29:X29" si="108">SUM(S6:S28)</f>
        <v>842950000</v>
      </c>
      <c r="T29" s="42">
        <f t="shared" si="108"/>
        <v>15150000</v>
      </c>
      <c r="U29" s="42">
        <f t="shared" si="108"/>
        <v>750000</v>
      </c>
      <c r="V29" s="42">
        <f t="shared" si="108"/>
        <v>81089800</v>
      </c>
      <c r="W29" s="42">
        <f t="shared" si="108"/>
        <v>0</v>
      </c>
      <c r="X29" s="42">
        <f t="shared" si="108"/>
        <v>745960200</v>
      </c>
      <c r="Y29" s="46"/>
      <c r="Z29" s="48"/>
      <c r="AA29" s="36"/>
    </row>
    <row r="30" spans="1:27" s="24" customFormat="1" ht="15.75" customHeight="1" x14ac:dyDescent="0.25">
      <c r="A30" s="51"/>
      <c r="B30" s="51"/>
      <c r="C30" s="85"/>
      <c r="D30" s="51"/>
      <c r="E30" s="51"/>
      <c r="F30" s="51"/>
      <c r="G30" s="36"/>
      <c r="H30" s="35"/>
      <c r="I30" s="36"/>
      <c r="J30" s="35"/>
      <c r="K30" s="36"/>
      <c r="L30" s="35"/>
      <c r="M30" s="36"/>
      <c r="N30" s="35"/>
      <c r="O30" s="36"/>
      <c r="P30" s="35"/>
      <c r="Q30" s="36"/>
      <c r="R30" s="35"/>
      <c r="S30" s="35"/>
      <c r="U30" s="35"/>
      <c r="V30" s="35"/>
      <c r="W30" s="36"/>
      <c r="X30" s="36"/>
      <c r="Y30" s="78"/>
    </row>
    <row r="31" spans="1:27" s="59" customFormat="1" ht="18" customHeight="1" x14ac:dyDescent="0.25">
      <c r="A31" s="58"/>
      <c r="B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W31" s="61"/>
      <c r="Y31" s="62" t="s">
        <v>453</v>
      </c>
    </row>
    <row r="32" spans="1:27" s="63" customFormat="1" ht="18" customHeight="1" x14ac:dyDescent="0.35">
      <c r="B32" s="63" t="s">
        <v>45</v>
      </c>
      <c r="D32" s="63" t="s">
        <v>46</v>
      </c>
      <c r="S32" s="63" t="s">
        <v>47</v>
      </c>
      <c r="W32" s="63" t="s">
        <v>48</v>
      </c>
    </row>
  </sheetData>
  <mergeCells count="2">
    <mergeCell ref="A1:Y1"/>
    <mergeCell ref="A2:Y2"/>
  </mergeCells>
  <phoneticPr fontId="2" type="noConversion"/>
  <printOptions horizontalCentered="1"/>
  <pageMargins left="0" right="0" top="0.5" bottom="0.5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/>
  <dimension ref="A1:W44"/>
  <sheetViews>
    <sheetView zoomScaleNormal="100" workbookViewId="0">
      <pane xSplit="7" ySplit="5" topLeftCell="H18" activePane="bottomRight" state="frozen"/>
      <selection pane="topRight" activeCell="G1" sqref="G1"/>
      <selection pane="bottomLeft" activeCell="A6" sqref="A6"/>
      <selection pane="bottomRight" activeCell="V36" sqref="V36"/>
    </sheetView>
  </sheetViews>
  <sheetFormatPr defaultColWidth="9.109375" defaultRowHeight="13.8" x14ac:dyDescent="0.25"/>
  <cols>
    <col min="1" max="1" width="3.6640625" style="1" customWidth="1"/>
    <col min="2" max="2" width="5.33203125" style="1" customWidth="1"/>
    <col min="3" max="3" width="14.109375" style="1" customWidth="1"/>
    <col min="4" max="4" width="5.5546875" style="1" customWidth="1"/>
    <col min="5" max="5" width="7.88671875" style="1" customWidth="1"/>
    <col min="6" max="6" width="4.6640625" style="1" customWidth="1"/>
    <col min="7" max="7" width="10.5546875" style="1" hidden="1" customWidth="1"/>
    <col min="8" max="8" width="10.6640625" style="1" customWidth="1"/>
    <col min="9" max="9" width="10.44140625" style="1" hidden="1" customWidth="1"/>
    <col min="10" max="10" width="10.88671875" style="1" customWidth="1"/>
    <col min="11" max="11" width="10.44140625" style="1" hidden="1" customWidth="1"/>
    <col min="12" max="12" width="11.5546875" style="1" customWidth="1"/>
    <col min="13" max="13" width="7.88671875" style="1" hidden="1" customWidth="1"/>
    <col min="14" max="14" width="9.88671875" style="1" hidden="1" customWidth="1"/>
    <col min="15" max="15" width="10.109375" style="1" hidden="1" customWidth="1"/>
    <col min="16" max="16" width="11.109375" style="1" hidden="1" customWidth="1"/>
    <col min="17" max="17" width="11.5546875" style="1" customWidth="1"/>
    <col min="18" max="18" width="9.88671875" style="2" bestFit="1" customWidth="1"/>
    <col min="19" max="19" width="8.33203125" style="2" customWidth="1"/>
    <col min="20" max="20" width="10" style="2" customWidth="1"/>
    <col min="21" max="21" width="5.44140625" style="1" customWidth="1"/>
    <col min="22" max="22" width="12" style="1" customWidth="1"/>
    <col min="23" max="23" width="9" style="1" customWidth="1"/>
    <col min="24" max="16384" width="9.109375" style="1"/>
  </cols>
  <sheetData>
    <row r="1" spans="1:23" s="12" customFormat="1" ht="21" customHeight="1" x14ac:dyDescent="0.4">
      <c r="A1" s="167" t="s">
        <v>53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</row>
    <row r="2" spans="1:23" s="12" customFormat="1" ht="21" customHeight="1" x14ac:dyDescent="0.4">
      <c r="A2" s="167" t="s">
        <v>515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</row>
    <row r="3" spans="1:23" s="81" customFormat="1" ht="15.75" customHeight="1" x14ac:dyDescent="0.3">
      <c r="A3" s="76"/>
      <c r="B3" s="76"/>
      <c r="C3" s="80">
        <v>31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T3" s="83">
        <v>26158</v>
      </c>
      <c r="W3" s="18" t="s">
        <v>24</v>
      </c>
    </row>
    <row r="4" spans="1:23" s="24" customFormat="1" ht="15.75" customHeight="1" x14ac:dyDescent="0.25">
      <c r="A4" s="19" t="s">
        <v>0</v>
      </c>
      <c r="B4" s="19" t="s">
        <v>25</v>
      </c>
      <c r="C4" s="20" t="s">
        <v>26</v>
      </c>
      <c r="D4" s="20" t="s">
        <v>27</v>
      </c>
      <c r="E4" s="21" t="s">
        <v>28</v>
      </c>
      <c r="F4" s="19" t="s">
        <v>28</v>
      </c>
      <c r="G4" s="22"/>
      <c r="H4" s="19" t="s">
        <v>31</v>
      </c>
      <c r="I4" s="22"/>
      <c r="J4" s="19" t="s">
        <v>32</v>
      </c>
      <c r="K4" s="22"/>
      <c r="L4" s="19" t="s">
        <v>33</v>
      </c>
      <c r="M4" s="22"/>
      <c r="N4" s="19" t="s">
        <v>60</v>
      </c>
      <c r="O4" s="22"/>
      <c r="P4" s="19" t="s">
        <v>50</v>
      </c>
      <c r="Q4" s="19" t="s">
        <v>34</v>
      </c>
      <c r="R4" s="19" t="s">
        <v>64</v>
      </c>
      <c r="S4" s="23" t="s">
        <v>35</v>
      </c>
      <c r="T4" s="19" t="s">
        <v>36</v>
      </c>
      <c r="U4" s="19" t="s">
        <v>37</v>
      </c>
      <c r="V4" s="19" t="s">
        <v>51</v>
      </c>
      <c r="W4" s="20" t="s">
        <v>1</v>
      </c>
    </row>
    <row r="5" spans="1:23" s="24" customFormat="1" ht="15.75" customHeight="1" x14ac:dyDescent="0.25">
      <c r="A5" s="25"/>
      <c r="B5" s="25"/>
      <c r="C5" s="26"/>
      <c r="D5" s="27" t="s">
        <v>2</v>
      </c>
      <c r="E5" s="28" t="s">
        <v>29</v>
      </c>
      <c r="F5" s="25" t="s">
        <v>30</v>
      </c>
      <c r="H5" s="25" t="s">
        <v>20</v>
      </c>
      <c r="J5" s="25" t="s">
        <v>38</v>
      </c>
      <c r="L5" s="25" t="s">
        <v>39</v>
      </c>
      <c r="N5" s="25" t="s">
        <v>61</v>
      </c>
      <c r="P5" s="25" t="s">
        <v>70</v>
      </c>
      <c r="Q5" s="25" t="s">
        <v>41</v>
      </c>
      <c r="R5" s="82" t="s">
        <v>63</v>
      </c>
      <c r="S5" s="82"/>
      <c r="T5" s="82" t="s">
        <v>42</v>
      </c>
      <c r="U5" s="25"/>
      <c r="V5" s="25" t="s">
        <v>43</v>
      </c>
      <c r="W5" s="27" t="s">
        <v>44</v>
      </c>
    </row>
    <row r="6" spans="1:23" s="37" customFormat="1" ht="18" customHeight="1" x14ac:dyDescent="0.25">
      <c r="A6" s="30">
        <v>1</v>
      </c>
      <c r="B6" s="31">
        <v>2412</v>
      </c>
      <c r="C6" s="32" t="s">
        <v>150</v>
      </c>
      <c r="D6" s="30" t="s">
        <v>3</v>
      </c>
      <c r="E6" s="33">
        <v>45807</v>
      </c>
      <c r="F6" s="30">
        <v>31</v>
      </c>
      <c r="G6" s="30">
        <v>22230000</v>
      </c>
      <c r="H6" s="30">
        <f t="shared" ref="H6" si="0">ROUND(G6*F6/$C$3,0)</f>
        <v>22230000</v>
      </c>
      <c r="I6" s="30">
        <v>25308000</v>
      </c>
      <c r="J6" s="30">
        <f>ROUND(I6*F6/$C$3,0)</f>
        <v>25308000</v>
      </c>
      <c r="K6" s="30">
        <v>13680000</v>
      </c>
      <c r="L6" s="30">
        <f>ROUND(K6*F6/$C$3,0)</f>
        <v>13680000</v>
      </c>
      <c r="M6" s="30">
        <v>6882000</v>
      </c>
      <c r="N6" s="30">
        <f>ROUND(M6*F6/$C$3,0)</f>
        <v>6882000</v>
      </c>
      <c r="O6" s="30">
        <v>12000000</v>
      </c>
      <c r="P6" s="30">
        <f>ROUND(O6*F6/$C$3,0)</f>
        <v>12000000</v>
      </c>
      <c r="Q6" s="30">
        <f>ROUND(H6+J6+L6+N6+P6,0)</f>
        <v>80100000</v>
      </c>
      <c r="R6" s="30">
        <f>VLOOKUP(B6,'[1]Đi tàu'!$B$7:$F$119,5,FALSE)</f>
        <v>855000</v>
      </c>
      <c r="S6" s="34">
        <f>VLOOKUP(B6,[2]T3!$B$7:$F$116,5,FALSE)</f>
        <v>47500</v>
      </c>
      <c r="T6" s="40">
        <f t="shared" ref="T6:T19" si="1">ROUND(200*$T$3,0)</f>
        <v>5231600</v>
      </c>
      <c r="U6" s="34"/>
      <c r="V6" s="30">
        <f>ROUND(Q6-R6-S6-T6-U6,0)</f>
        <v>73965900</v>
      </c>
      <c r="W6" s="99"/>
    </row>
    <row r="7" spans="1:23" s="37" customFormat="1" ht="18" customHeight="1" x14ac:dyDescent="0.25">
      <c r="A7" s="30" t="s">
        <v>548</v>
      </c>
      <c r="B7" s="31">
        <v>1798</v>
      </c>
      <c r="C7" s="32" t="s">
        <v>549</v>
      </c>
      <c r="D7" s="30" t="s">
        <v>3</v>
      </c>
      <c r="E7" s="33">
        <v>46104</v>
      </c>
      <c r="F7" s="30">
        <v>9</v>
      </c>
      <c r="G7" s="30">
        <v>22230000</v>
      </c>
      <c r="H7" s="30">
        <f t="shared" ref="H7" si="2">ROUND(G7*F7/$C$3,0)</f>
        <v>6453871</v>
      </c>
      <c r="I7" s="30">
        <v>25308000</v>
      </c>
      <c r="J7" s="30">
        <f>ROUND(I7*F7/$C$3,0)</f>
        <v>7347484</v>
      </c>
      <c r="K7" s="30">
        <v>13680000</v>
      </c>
      <c r="L7" s="30">
        <f>ROUND(K7*F7/$C$3,0)</f>
        <v>3971613</v>
      </c>
      <c r="M7" s="30">
        <v>6882000</v>
      </c>
      <c r="N7" s="30">
        <f>ROUND(M7*F7/$C$3,0)</f>
        <v>1998000</v>
      </c>
      <c r="O7" s="30">
        <v>12000000</v>
      </c>
      <c r="P7" s="30">
        <f>ROUND(O7*F7/$C$3,0)</f>
        <v>3483871</v>
      </c>
      <c r="Q7" s="30">
        <f>ROUND(H7+J7+L7+N7+P7,0)</f>
        <v>23254839</v>
      </c>
      <c r="R7" s="30"/>
      <c r="S7" s="34"/>
      <c r="T7" s="40"/>
      <c r="U7" s="34"/>
      <c r="V7" s="30">
        <f>ROUND(Q7-R7-S7-T7-U7,0)</f>
        <v>23254839</v>
      </c>
      <c r="W7" s="99"/>
    </row>
    <row r="8" spans="1:23" s="37" customFormat="1" ht="18" customHeight="1" x14ac:dyDescent="0.25">
      <c r="A8" s="30">
        <v>2</v>
      </c>
      <c r="B8" s="31">
        <v>2354</v>
      </c>
      <c r="C8" s="32" t="s">
        <v>151</v>
      </c>
      <c r="D8" s="30" t="s">
        <v>16</v>
      </c>
      <c r="E8" s="33">
        <v>45807</v>
      </c>
      <c r="F8" s="30">
        <v>11</v>
      </c>
      <c r="G8" s="30">
        <v>17160000</v>
      </c>
      <c r="H8" s="30">
        <f t="shared" ref="H8" si="3">ROUND(G8*F8/$C$3,0)</f>
        <v>6089032</v>
      </c>
      <c r="I8" s="30">
        <v>19536000</v>
      </c>
      <c r="J8" s="30">
        <f t="shared" ref="J8" si="4">ROUND(I8*F8/$C$3,0)</f>
        <v>6932129</v>
      </c>
      <c r="K8" s="30">
        <v>10560000</v>
      </c>
      <c r="L8" s="30">
        <f t="shared" ref="L8" si="5">ROUND(K8*F8/$C$3,0)</f>
        <v>3747097</v>
      </c>
      <c r="M8" s="30">
        <v>6354000</v>
      </c>
      <c r="N8" s="30">
        <f t="shared" ref="N8" si="6">ROUND(M8*F8/$C$3,0)</f>
        <v>2254645</v>
      </c>
      <c r="O8" s="30"/>
      <c r="P8" s="30"/>
      <c r="Q8" s="30">
        <f>ROUND(H8+J8+L8+N8+P8,0)</f>
        <v>19022903</v>
      </c>
      <c r="R8" s="30"/>
      <c r="S8" s="34"/>
      <c r="T8" s="40"/>
      <c r="U8" s="34"/>
      <c r="V8" s="30">
        <f t="shared" ref="V8" si="7">ROUND(Q8-R8-S8-T8-U8,0)</f>
        <v>19022903</v>
      </c>
      <c r="W8" s="99"/>
    </row>
    <row r="9" spans="1:23" s="37" customFormat="1" ht="18" customHeight="1" x14ac:dyDescent="0.25">
      <c r="A9" s="30" t="s">
        <v>516</v>
      </c>
      <c r="B9" s="31">
        <v>1913</v>
      </c>
      <c r="C9" s="32" t="s">
        <v>472</v>
      </c>
      <c r="D9" s="30" t="s">
        <v>16</v>
      </c>
      <c r="E9" s="33">
        <v>46060</v>
      </c>
      <c r="F9" s="30">
        <v>21</v>
      </c>
      <c r="G9" s="30">
        <v>17160000</v>
      </c>
      <c r="H9" s="30">
        <f t="shared" ref="H9" si="8">ROUND(G9*F9/$C$3,0)</f>
        <v>11624516</v>
      </c>
      <c r="I9" s="30">
        <v>19536000</v>
      </c>
      <c r="J9" s="30">
        <f t="shared" ref="J9" si="9">ROUND(I9*F9/$C$3,0)</f>
        <v>13234065</v>
      </c>
      <c r="K9" s="30">
        <v>10560000</v>
      </c>
      <c r="L9" s="30">
        <f t="shared" ref="L9" si="10">ROUND(K9*F9/$C$3,0)</f>
        <v>7153548</v>
      </c>
      <c r="M9" s="30">
        <v>6354000</v>
      </c>
      <c r="N9" s="30">
        <f t="shared" ref="N9" si="11">ROUND(M9*F9/$C$3,0)</f>
        <v>4304323</v>
      </c>
      <c r="O9" s="30"/>
      <c r="P9" s="30"/>
      <c r="Q9" s="30">
        <f>ROUND(H9+J9+L9+N9+P9,0)</f>
        <v>36316452</v>
      </c>
      <c r="R9" s="30">
        <f>VLOOKUP(B9,'[1]Đi tàu'!$B$7:$F$119,5,FALSE)</f>
        <v>720000</v>
      </c>
      <c r="S9" s="34">
        <f>VLOOKUP(B9,[2]T3!$B$7:$F$116,5,FALSE)</f>
        <v>40000</v>
      </c>
      <c r="T9" s="40">
        <f t="shared" si="1"/>
        <v>5231600</v>
      </c>
      <c r="U9" s="34"/>
      <c r="V9" s="30">
        <f t="shared" ref="V9" si="12">ROUND(Q9-R9-S9-T9-U9,0)</f>
        <v>30324852</v>
      </c>
      <c r="W9" s="99" t="s">
        <v>517</v>
      </c>
    </row>
    <row r="10" spans="1:23" s="37" customFormat="1" ht="18" customHeight="1" x14ac:dyDescent="0.25">
      <c r="A10" s="30">
        <v>3</v>
      </c>
      <c r="B10" s="31">
        <v>1913</v>
      </c>
      <c r="C10" s="32" t="s">
        <v>472</v>
      </c>
      <c r="D10" s="30" t="s">
        <v>4</v>
      </c>
      <c r="E10" s="33">
        <v>46060</v>
      </c>
      <c r="F10" s="30">
        <v>10</v>
      </c>
      <c r="G10" s="30">
        <v>11310000</v>
      </c>
      <c r="H10" s="30">
        <f t="shared" ref="H10" si="13">ROUND(G10*F10/$C$3,0)</f>
        <v>3648387</v>
      </c>
      <c r="I10" s="30">
        <v>12876000</v>
      </c>
      <c r="J10" s="30">
        <f t="shared" ref="J10" si="14">ROUND(I10*F10/$C$3,0)</f>
        <v>4153548</v>
      </c>
      <c r="K10" s="30">
        <v>6960000</v>
      </c>
      <c r="L10" s="30">
        <f t="shared" ref="L10" si="15">ROUND(K10*F10/$C$3,0)</f>
        <v>2245161</v>
      </c>
      <c r="M10" s="30">
        <v>6934000</v>
      </c>
      <c r="N10" s="30">
        <f t="shared" ref="N10" si="16">ROUND(M10*F10/$C$3,0)</f>
        <v>2236774</v>
      </c>
      <c r="O10" s="30">
        <v>15530000</v>
      </c>
      <c r="P10" s="30">
        <f>ROUND(O10*F10/$C$3,0)</f>
        <v>5009677</v>
      </c>
      <c r="Q10" s="30">
        <f t="shared" ref="Q10" si="17">ROUND(H10+J10+L10+N10+P10,0)</f>
        <v>17293547</v>
      </c>
      <c r="R10" s="30"/>
      <c r="S10" s="34"/>
      <c r="T10" s="40"/>
      <c r="U10" s="34"/>
      <c r="V10" s="30">
        <f t="shared" ref="V10" si="18">ROUND(Q10-R10-S10-T10-U10,0)</f>
        <v>17293547</v>
      </c>
      <c r="W10" s="99" t="s">
        <v>328</v>
      </c>
    </row>
    <row r="11" spans="1:23" s="37" customFormat="1" ht="18" customHeight="1" x14ac:dyDescent="0.25">
      <c r="A11" s="30" t="s">
        <v>469</v>
      </c>
      <c r="B11" s="31">
        <v>2156</v>
      </c>
      <c r="C11" s="32" t="s">
        <v>249</v>
      </c>
      <c r="D11" s="30" t="s">
        <v>4</v>
      </c>
      <c r="E11" s="33">
        <v>45891</v>
      </c>
      <c r="F11" s="30">
        <v>17</v>
      </c>
      <c r="G11" s="30">
        <v>11310000</v>
      </c>
      <c r="H11" s="30">
        <f t="shared" ref="H11" si="19">ROUND(G11*F11/$C$3,0)</f>
        <v>6202258</v>
      </c>
      <c r="I11" s="30">
        <v>12876000</v>
      </c>
      <c r="J11" s="30">
        <f t="shared" ref="J11" si="20">ROUND(I11*F11/$C$3,0)</f>
        <v>7061032</v>
      </c>
      <c r="K11" s="30">
        <v>6960000</v>
      </c>
      <c r="L11" s="30">
        <f t="shared" ref="L11" si="21">ROUND(K11*F11/$C$3,0)</f>
        <v>3816774</v>
      </c>
      <c r="M11" s="30">
        <v>6934000</v>
      </c>
      <c r="N11" s="30">
        <f t="shared" ref="N11" si="22">ROUND(M11*F11/$C$3,0)</f>
        <v>3802516</v>
      </c>
      <c r="O11" s="30"/>
      <c r="P11" s="30"/>
      <c r="Q11" s="30">
        <f t="shared" ref="Q11" si="23">ROUND(H11+J11+L11+N11+P11,0)</f>
        <v>20882580</v>
      </c>
      <c r="R11" s="30">
        <f>VLOOKUP(B11,'[1]Đi tàu'!$B$7:$F$119,5,FALSE)</f>
        <v>675000</v>
      </c>
      <c r="S11" s="34">
        <f>VLOOKUP(B11,[2]T3!$B$7:$F$116,5,FALSE)</f>
        <v>37500</v>
      </c>
      <c r="T11" s="40">
        <f t="shared" si="1"/>
        <v>5231600</v>
      </c>
      <c r="U11" s="34"/>
      <c r="V11" s="30">
        <f t="shared" ref="V11" si="24">ROUND(Q11-R11-S11-T11-U11,0)</f>
        <v>14938480</v>
      </c>
      <c r="W11" s="99" t="s">
        <v>517</v>
      </c>
    </row>
    <row r="12" spans="1:23" s="37" customFormat="1" ht="18" customHeight="1" x14ac:dyDescent="0.25">
      <c r="A12" s="30" t="s">
        <v>542</v>
      </c>
      <c r="B12" s="31">
        <v>3056</v>
      </c>
      <c r="C12" s="32" t="s">
        <v>543</v>
      </c>
      <c r="D12" s="30" t="s">
        <v>4</v>
      </c>
      <c r="E12" s="33">
        <v>46107</v>
      </c>
      <c r="F12" s="30">
        <v>6</v>
      </c>
      <c r="G12" s="30">
        <v>11310000</v>
      </c>
      <c r="H12" s="30">
        <f t="shared" ref="H12" si="25">ROUND(G12*F12/$C$3,0)</f>
        <v>2189032</v>
      </c>
      <c r="I12" s="30">
        <v>12876000</v>
      </c>
      <c r="J12" s="30">
        <f t="shared" ref="J12" si="26">ROUND(I12*F12/$C$3,0)</f>
        <v>2492129</v>
      </c>
      <c r="K12" s="30">
        <v>6960000</v>
      </c>
      <c r="L12" s="30">
        <f t="shared" ref="L12" si="27">ROUND(K12*F12/$C$3,0)</f>
        <v>1347097</v>
      </c>
      <c r="M12" s="30">
        <v>6934000</v>
      </c>
      <c r="N12" s="30">
        <f t="shared" ref="N12" si="28">ROUND(M12*F12/$C$3,0)</f>
        <v>1342065</v>
      </c>
      <c r="O12" s="30"/>
      <c r="P12" s="30"/>
      <c r="Q12" s="30">
        <f t="shared" ref="Q12" si="29">ROUND(H12+J12+L12+N12+P12,0)</f>
        <v>7370323</v>
      </c>
      <c r="R12" s="30"/>
      <c r="S12" s="34"/>
      <c r="T12" s="40"/>
      <c r="U12" s="34"/>
      <c r="V12" s="30">
        <f t="shared" ref="V12" si="30">ROUND(Q12-R12-S12-T12-U12,0)</f>
        <v>7370323</v>
      </c>
      <c r="W12" s="99"/>
    </row>
    <row r="13" spans="1:23" s="37" customFormat="1" ht="18" customHeight="1" x14ac:dyDescent="0.25">
      <c r="A13" s="30">
        <v>4</v>
      </c>
      <c r="B13" s="31">
        <v>2156</v>
      </c>
      <c r="C13" s="32" t="s">
        <v>249</v>
      </c>
      <c r="D13" s="30" t="s">
        <v>5</v>
      </c>
      <c r="E13" s="33">
        <v>45891</v>
      </c>
      <c r="F13" s="30">
        <v>10</v>
      </c>
      <c r="G13" s="30">
        <v>10140000</v>
      </c>
      <c r="H13" s="30">
        <f t="shared" ref="H13" si="31">ROUND(G13*F13/$C$3,0)</f>
        <v>3270968</v>
      </c>
      <c r="I13" s="30">
        <v>11544000</v>
      </c>
      <c r="J13" s="30">
        <f t="shared" ref="J13" si="32">ROUND(I13*F13/$C$3,0)</f>
        <v>3723871</v>
      </c>
      <c r="K13" s="30">
        <v>6240000</v>
      </c>
      <c r="L13" s="30">
        <f t="shared" ref="L13" si="33">ROUND(K13*F13/$C$3,0)</f>
        <v>2012903</v>
      </c>
      <c r="M13" s="30">
        <v>6136000</v>
      </c>
      <c r="N13" s="30">
        <f t="shared" ref="N13" si="34">ROUND(M13*F13/$C$3,0)</f>
        <v>1979355</v>
      </c>
      <c r="O13" s="30">
        <v>4020000</v>
      </c>
      <c r="P13" s="30">
        <f>ROUND(O13*F13/$C$3,0)</f>
        <v>1296774</v>
      </c>
      <c r="Q13" s="30">
        <f t="shared" ref="Q13" si="35">ROUND(H13+J13+L13+N13+P13,0)</f>
        <v>12283871</v>
      </c>
      <c r="R13" s="30"/>
      <c r="S13" s="34"/>
      <c r="T13" s="40"/>
      <c r="U13" s="34"/>
      <c r="V13" s="30">
        <f>ROUND(Q13-R13-S13-T13-U13,0)</f>
        <v>12283871</v>
      </c>
      <c r="W13" s="99" t="s">
        <v>328</v>
      </c>
    </row>
    <row r="14" spans="1:23" s="37" customFormat="1" ht="18" customHeight="1" x14ac:dyDescent="0.25">
      <c r="A14" s="30" t="s">
        <v>471</v>
      </c>
      <c r="B14" s="31">
        <v>2766</v>
      </c>
      <c r="C14" s="32" t="s">
        <v>518</v>
      </c>
      <c r="D14" s="30" t="s">
        <v>5</v>
      </c>
      <c r="E14" s="33">
        <v>46091</v>
      </c>
      <c r="F14" s="30">
        <v>22</v>
      </c>
      <c r="G14" s="30">
        <v>10140000</v>
      </c>
      <c r="H14" s="30">
        <f t="shared" ref="H14" si="36">ROUND(G14*F14/$C$3,0)</f>
        <v>7196129</v>
      </c>
      <c r="I14" s="30">
        <v>11544000</v>
      </c>
      <c r="J14" s="30">
        <f t="shared" ref="J14" si="37">ROUND(I14*F14/$C$3,0)</f>
        <v>8192516</v>
      </c>
      <c r="K14" s="30">
        <v>6240000</v>
      </c>
      <c r="L14" s="30">
        <f t="shared" ref="L14" si="38">ROUND(K14*F14/$C$3,0)</f>
        <v>4428387</v>
      </c>
      <c r="M14" s="30">
        <v>6136000</v>
      </c>
      <c r="N14" s="30">
        <f t="shared" ref="N14" si="39">ROUND(M14*F14/$C$3,0)</f>
        <v>4354581</v>
      </c>
      <c r="O14" s="30"/>
      <c r="P14" s="30"/>
      <c r="Q14" s="30">
        <f t="shared" ref="Q14" si="40">ROUND(H14+J14+L14+N14+P14,0)</f>
        <v>24171613</v>
      </c>
      <c r="R14" s="30">
        <f>VLOOKUP(B14,'[1]Đi tàu'!$B$7:$F$119,5,FALSE)</f>
        <v>630000</v>
      </c>
      <c r="S14" s="34">
        <f>VLOOKUP(B14,[2]T3!$B$7:$F$116,5,FALSE)</f>
        <v>35000</v>
      </c>
      <c r="T14" s="40">
        <f t="shared" si="1"/>
        <v>5231600</v>
      </c>
      <c r="U14" s="34"/>
      <c r="V14" s="30">
        <f>ROUND(Q14-R14-S14-T14-U14,0)</f>
        <v>18275013</v>
      </c>
      <c r="W14" s="99"/>
    </row>
    <row r="15" spans="1:23" s="37" customFormat="1" ht="18" customHeight="1" x14ac:dyDescent="0.25">
      <c r="A15" s="30">
        <v>5</v>
      </c>
      <c r="B15" s="31">
        <v>1331</v>
      </c>
      <c r="C15" s="32" t="s">
        <v>473</v>
      </c>
      <c r="D15" s="30" t="s">
        <v>6</v>
      </c>
      <c r="E15" s="33">
        <v>46060</v>
      </c>
      <c r="F15" s="30">
        <v>31</v>
      </c>
      <c r="G15" s="30">
        <v>20280000</v>
      </c>
      <c r="H15" s="30">
        <f t="shared" ref="H15" si="41">ROUND(G15*F15/$C$3,0)</f>
        <v>20280000</v>
      </c>
      <c r="I15" s="30">
        <v>23088000</v>
      </c>
      <c r="J15" s="30">
        <f t="shared" ref="J15" si="42">ROUND(I15*F15/$C$3,0)</f>
        <v>23088000</v>
      </c>
      <c r="K15" s="30">
        <v>12480000</v>
      </c>
      <c r="L15" s="30">
        <f t="shared" ref="L15" si="43">ROUND(K15*F15/$C$3,0)</f>
        <v>12480000</v>
      </c>
      <c r="M15" s="30">
        <v>2742000</v>
      </c>
      <c r="N15" s="30">
        <f t="shared" ref="N15" si="44">ROUND(M15*F15/$C$3,0)</f>
        <v>2742000</v>
      </c>
      <c r="O15" s="30">
        <v>10000000</v>
      </c>
      <c r="P15" s="30">
        <f>ROUND(O15*F15/$C$3,0)</f>
        <v>10000000</v>
      </c>
      <c r="Q15" s="30">
        <f t="shared" ref="Q15" si="45">ROUND(H15+J15+L15+N15+P15,0)</f>
        <v>68590000</v>
      </c>
      <c r="R15" s="30">
        <f>VLOOKUP(B15,'[1]Đi tàu'!$B$7:$F$119,5,FALSE)</f>
        <v>810000</v>
      </c>
      <c r="S15" s="34">
        <f>VLOOKUP(B15,[2]T3!$B$7:$F$116,5,FALSE)</f>
        <v>45000</v>
      </c>
      <c r="T15" s="40">
        <f t="shared" si="1"/>
        <v>5231600</v>
      </c>
      <c r="U15" s="34"/>
      <c r="V15" s="30">
        <f t="shared" ref="V15" si="46">ROUND(Q15-R15-S15-T15-U15,0)</f>
        <v>62503400</v>
      </c>
      <c r="W15" s="99"/>
    </row>
    <row r="16" spans="1:23" s="37" customFormat="1" ht="18" customHeight="1" x14ac:dyDescent="0.25">
      <c r="A16" s="30">
        <v>6</v>
      </c>
      <c r="B16" s="31" t="s">
        <v>250</v>
      </c>
      <c r="C16" s="32" t="s">
        <v>251</v>
      </c>
      <c r="D16" s="30" t="s">
        <v>17</v>
      </c>
      <c r="E16" s="33">
        <v>45887</v>
      </c>
      <c r="F16" s="30">
        <v>27</v>
      </c>
      <c r="G16" s="30">
        <v>17160000</v>
      </c>
      <c r="H16" s="30">
        <f t="shared" ref="H16" si="47">ROUND(G16*F16/$C$3,0)</f>
        <v>14945806</v>
      </c>
      <c r="I16" s="30">
        <v>19536000</v>
      </c>
      <c r="J16" s="30">
        <f t="shared" ref="J16" si="48">ROUND(I16*F16/$C$3,0)</f>
        <v>17015226</v>
      </c>
      <c r="K16" s="30">
        <v>10560000</v>
      </c>
      <c r="L16" s="30">
        <f t="shared" ref="L16" si="49">ROUND(K16*F16/$C$3,0)</f>
        <v>9197419</v>
      </c>
      <c r="M16" s="30">
        <v>6354000</v>
      </c>
      <c r="N16" s="30">
        <f t="shared" ref="N16" si="50">ROUND(M16*F16/$C$3,0)</f>
        <v>5534129</v>
      </c>
      <c r="O16" s="30"/>
      <c r="P16" s="30"/>
      <c r="Q16" s="30">
        <f>ROUND(H16+J16+L16+N16+P16,0)</f>
        <v>46692580</v>
      </c>
      <c r="R16" s="30">
        <f>VLOOKUP(B16,'[1]Đi tàu'!$B$7:$F$119,5,FALSE)</f>
        <v>720000</v>
      </c>
      <c r="S16" s="34">
        <f>VLOOKUP(B16,[2]T3!$B$7:$F$116,5,FALSE)</f>
        <v>40000</v>
      </c>
      <c r="T16" s="40">
        <f t="shared" si="1"/>
        <v>5231600</v>
      </c>
      <c r="U16" s="34"/>
      <c r="V16" s="30">
        <f t="shared" ref="V16" si="51">ROUND(Q16-R16-S16-T16-U16,0)</f>
        <v>40700980</v>
      </c>
      <c r="W16" s="99"/>
    </row>
    <row r="17" spans="1:23" s="37" customFormat="1" ht="18" customHeight="1" x14ac:dyDescent="0.25">
      <c r="A17" s="30" t="s">
        <v>544</v>
      </c>
      <c r="B17" s="31">
        <v>1997</v>
      </c>
      <c r="C17" s="111" t="s">
        <v>545</v>
      </c>
      <c r="D17" s="30" t="s">
        <v>17</v>
      </c>
      <c r="E17" s="33">
        <v>46107</v>
      </c>
      <c r="F17" s="30">
        <v>6</v>
      </c>
      <c r="G17" s="30">
        <v>17160000</v>
      </c>
      <c r="H17" s="30">
        <f t="shared" ref="H17" si="52">ROUND(G17*F17/$C$3,0)</f>
        <v>3321290</v>
      </c>
      <c r="I17" s="30">
        <v>19536000</v>
      </c>
      <c r="J17" s="30">
        <f t="shared" ref="J17" si="53">ROUND(I17*F17/$C$3,0)</f>
        <v>3781161</v>
      </c>
      <c r="K17" s="30">
        <v>10560000</v>
      </c>
      <c r="L17" s="30">
        <f t="shared" ref="L17" si="54">ROUND(K17*F17/$C$3,0)</f>
        <v>2043871</v>
      </c>
      <c r="M17" s="30">
        <v>6354000</v>
      </c>
      <c r="N17" s="30">
        <f t="shared" ref="N17" si="55">ROUND(M17*F17/$C$3,0)</f>
        <v>1229806</v>
      </c>
      <c r="O17" s="30"/>
      <c r="P17" s="30"/>
      <c r="Q17" s="30">
        <f>ROUND(H17+J17+L17+N17+P17,0)</f>
        <v>10376128</v>
      </c>
      <c r="R17" s="30"/>
      <c r="S17" s="34"/>
      <c r="T17" s="40"/>
      <c r="U17" s="34"/>
      <c r="V17" s="30">
        <f t="shared" ref="V17" si="56">ROUND(Q17-R17-S17-T17-U17,0)</f>
        <v>10376128</v>
      </c>
      <c r="W17" s="99"/>
    </row>
    <row r="18" spans="1:23" s="37" customFormat="1" ht="18" customHeight="1" x14ac:dyDescent="0.25">
      <c r="A18" s="30">
        <v>7</v>
      </c>
      <c r="B18" s="31">
        <v>2284</v>
      </c>
      <c r="C18" s="111" t="s">
        <v>411</v>
      </c>
      <c r="D18" s="30" t="s">
        <v>7</v>
      </c>
      <c r="E18" s="33">
        <v>45934</v>
      </c>
      <c r="F18" s="30">
        <v>31</v>
      </c>
      <c r="G18" s="30">
        <v>11310000</v>
      </c>
      <c r="H18" s="30">
        <f t="shared" ref="H18" si="57">ROUND(G18*F18/$C$3,0)</f>
        <v>11310000</v>
      </c>
      <c r="I18" s="30">
        <v>12876000</v>
      </c>
      <c r="J18" s="30">
        <f t="shared" ref="J18" si="58">ROUND(I18*F18/$C$3,0)</f>
        <v>12876000</v>
      </c>
      <c r="K18" s="30">
        <v>6960000</v>
      </c>
      <c r="L18" s="30">
        <f t="shared" ref="L18" si="59">ROUND(K18*F18/$C$3,0)</f>
        <v>6960000</v>
      </c>
      <c r="M18" s="30">
        <v>6934000</v>
      </c>
      <c r="N18" s="30">
        <f t="shared" ref="N18" si="60">ROUND(M18*F18/$C$3,0)</f>
        <v>6934000</v>
      </c>
      <c r="O18" s="30"/>
      <c r="P18" s="30"/>
      <c r="Q18" s="30">
        <f t="shared" ref="Q18" si="61">ROUND(H18+J18+L18+N18+P18,0)</f>
        <v>38080000</v>
      </c>
      <c r="R18" s="30">
        <f>VLOOKUP(B18,'[1]Đi tàu'!$B$7:$F$119,5,FALSE)</f>
        <v>675000</v>
      </c>
      <c r="S18" s="34">
        <f>VLOOKUP(B18,[2]T3!$B$7:$F$116,5,FALSE)</f>
        <v>37500</v>
      </c>
      <c r="T18" s="40">
        <f t="shared" si="1"/>
        <v>5231600</v>
      </c>
      <c r="U18" s="34"/>
      <c r="V18" s="30">
        <f t="shared" ref="V18" si="62">ROUND(Q18-R18-S18-T18-U18,0)</f>
        <v>32135900</v>
      </c>
      <c r="W18" s="99"/>
    </row>
    <row r="19" spans="1:23" s="37" customFormat="1" ht="18" customHeight="1" x14ac:dyDescent="0.25">
      <c r="A19" s="30">
        <v>8</v>
      </c>
      <c r="B19" s="31">
        <v>2644</v>
      </c>
      <c r="C19" s="111" t="s">
        <v>474</v>
      </c>
      <c r="D19" s="30" t="s">
        <v>8</v>
      </c>
      <c r="E19" s="33">
        <v>46060</v>
      </c>
      <c r="F19" s="30">
        <v>31</v>
      </c>
      <c r="G19" s="30">
        <v>10140000</v>
      </c>
      <c r="H19" s="30">
        <f t="shared" ref="H19" si="63">ROUND(G19*F19/$C$3,0)</f>
        <v>10140000</v>
      </c>
      <c r="I19" s="30">
        <v>11544000</v>
      </c>
      <c r="J19" s="30">
        <f t="shared" ref="J19" si="64">ROUND(I19*F19/$C$3,0)</f>
        <v>11544000</v>
      </c>
      <c r="K19" s="30">
        <v>6240000</v>
      </c>
      <c r="L19" s="30">
        <f t="shared" ref="L19" si="65">ROUND(K19*F19/$C$3,0)</f>
        <v>6240000</v>
      </c>
      <c r="M19" s="30">
        <v>6136000</v>
      </c>
      <c r="N19" s="30">
        <f t="shared" ref="N19" si="66">ROUND(M19*F19/$C$3,0)</f>
        <v>6136000</v>
      </c>
      <c r="O19" s="30"/>
      <c r="P19" s="30"/>
      <c r="Q19" s="30">
        <f t="shared" ref="Q19" si="67">ROUND(H19+J19+L19+N19+P19,0)</f>
        <v>34060000</v>
      </c>
      <c r="R19" s="30">
        <f>VLOOKUP(B19,'[1]Đi tàu'!$B$7:$F$119,5,FALSE)</f>
        <v>630000</v>
      </c>
      <c r="S19" s="34">
        <f>VLOOKUP(B19,[2]T3!$B$7:$F$116,5,FALSE)</f>
        <v>35000</v>
      </c>
      <c r="T19" s="40">
        <f t="shared" si="1"/>
        <v>5231600</v>
      </c>
      <c r="U19" s="34"/>
      <c r="V19" s="30">
        <f t="shared" ref="V19" si="68">ROUND(Q19-R19-S19-T19-U19,0)</f>
        <v>28163400</v>
      </c>
      <c r="W19" s="99"/>
    </row>
    <row r="20" spans="1:23" s="37" customFormat="1" ht="18" customHeight="1" x14ac:dyDescent="0.25">
      <c r="A20" s="30">
        <v>9</v>
      </c>
      <c r="B20" s="31">
        <v>2702</v>
      </c>
      <c r="C20" s="32" t="s">
        <v>475</v>
      </c>
      <c r="D20" s="30" t="s">
        <v>9</v>
      </c>
      <c r="E20" s="33">
        <v>46060</v>
      </c>
      <c r="F20" s="30">
        <v>31</v>
      </c>
      <c r="G20" s="30">
        <v>8385000</v>
      </c>
      <c r="H20" s="30">
        <f t="shared" ref="H20" si="69">ROUND(G20*F20/$C$3,0)</f>
        <v>8385000</v>
      </c>
      <c r="I20" s="30">
        <v>9546000</v>
      </c>
      <c r="J20" s="30">
        <f>ROUND(I20*F20/$C$3,0)</f>
        <v>9546000</v>
      </c>
      <c r="K20" s="30">
        <v>5160000</v>
      </c>
      <c r="L20" s="30">
        <f>ROUND(K20*F20/$C$3,0)</f>
        <v>5160000</v>
      </c>
      <c r="M20" s="30">
        <v>4909000</v>
      </c>
      <c r="N20" s="30">
        <f>ROUND(M20*F20/$C$3,0)</f>
        <v>4909000</v>
      </c>
      <c r="O20" s="30"/>
      <c r="P20" s="30"/>
      <c r="Q20" s="30">
        <f>ROUND(H20+J20+L20+N20+P20,0)</f>
        <v>28000000</v>
      </c>
      <c r="R20" s="30">
        <f>VLOOKUP(B20,'[1]Đi tàu'!$B$7:$F$119,5,FALSE)</f>
        <v>585000</v>
      </c>
      <c r="S20" s="34">
        <f>VLOOKUP(B20,[2]T3!$B$7:$F$116,5,FALSE)</f>
        <v>32500</v>
      </c>
      <c r="T20" s="40">
        <f t="shared" ref="T20:T35" si="70">ROUND(100*$T$3,0)</f>
        <v>2615800</v>
      </c>
      <c r="U20" s="34"/>
      <c r="V20" s="30">
        <f>ROUND(Q20-R20-S20-T20-U20,0)</f>
        <v>24766700</v>
      </c>
      <c r="W20" s="99"/>
    </row>
    <row r="21" spans="1:23" s="37" customFormat="1" ht="18" customHeight="1" x14ac:dyDescent="0.25">
      <c r="A21" s="30">
        <v>10</v>
      </c>
      <c r="B21" s="31">
        <v>2805</v>
      </c>
      <c r="C21" s="32" t="s">
        <v>252</v>
      </c>
      <c r="D21" s="30" t="s">
        <v>10</v>
      </c>
      <c r="E21" s="33">
        <v>45887</v>
      </c>
      <c r="F21" s="30">
        <v>31</v>
      </c>
      <c r="G21" s="30">
        <v>6630000</v>
      </c>
      <c r="H21" s="30">
        <f t="shared" ref="H21" si="71">ROUND(G21*F21/$C$3,0)</f>
        <v>6630000</v>
      </c>
      <c r="I21" s="30">
        <v>7548000</v>
      </c>
      <c r="J21" s="30">
        <f t="shared" ref="J21" si="72">ROUND(I21*F21/$C$3,0)</f>
        <v>7548000</v>
      </c>
      <c r="K21" s="30">
        <v>4080000</v>
      </c>
      <c r="L21" s="30">
        <f t="shared" ref="L21" si="73">ROUND(K21*F21/$C$3,0)</f>
        <v>4080000</v>
      </c>
      <c r="M21" s="30">
        <v>4742000</v>
      </c>
      <c r="N21" s="30">
        <f t="shared" ref="N21" si="74">ROUND(M21*F21/$C$3,0)</f>
        <v>4742000</v>
      </c>
      <c r="O21" s="30"/>
      <c r="P21" s="30"/>
      <c r="Q21" s="30">
        <f>ROUND(H21+J21+L21+N21+P21,0)</f>
        <v>23000000</v>
      </c>
      <c r="R21" s="30">
        <f>VLOOKUP(B21,'[1]Đi tàu'!$B$7:$F$119,5,FALSE)</f>
        <v>540000</v>
      </c>
      <c r="S21" s="34">
        <f>VLOOKUP(B21,[2]T3!$B$7:$F$116,5,FALSE)</f>
        <v>30000</v>
      </c>
      <c r="T21" s="40">
        <f t="shared" si="70"/>
        <v>2615800</v>
      </c>
      <c r="U21" s="34"/>
      <c r="V21" s="30">
        <f t="shared" ref="V21" si="75">ROUND(Q21-R21-S21-T21-U21,0)</f>
        <v>19814200</v>
      </c>
      <c r="W21" s="99"/>
    </row>
    <row r="22" spans="1:23" s="37" customFormat="1" ht="18" customHeight="1" x14ac:dyDescent="0.25">
      <c r="A22" s="30">
        <v>11</v>
      </c>
      <c r="B22" s="31">
        <v>2919</v>
      </c>
      <c r="C22" s="32" t="s">
        <v>476</v>
      </c>
      <c r="D22" s="30" t="s">
        <v>10</v>
      </c>
      <c r="E22" s="33">
        <v>46060</v>
      </c>
      <c r="F22" s="30">
        <v>31</v>
      </c>
      <c r="G22" s="30">
        <v>6630000</v>
      </c>
      <c r="H22" s="30">
        <f t="shared" ref="H22" si="76">ROUND(G22*F22/$C$3,0)</f>
        <v>6630000</v>
      </c>
      <c r="I22" s="30">
        <v>7548000</v>
      </c>
      <c r="J22" s="30">
        <f t="shared" ref="J22" si="77">ROUND(I22*F22/$C$3,0)</f>
        <v>7548000</v>
      </c>
      <c r="K22" s="30">
        <v>4080000</v>
      </c>
      <c r="L22" s="30">
        <f t="shared" ref="L22" si="78">ROUND(K22*F22/$C$3,0)</f>
        <v>4080000</v>
      </c>
      <c r="M22" s="30">
        <v>4742000</v>
      </c>
      <c r="N22" s="30">
        <f t="shared" ref="N22" si="79">ROUND(M22*F22/$C$3,0)</f>
        <v>4742000</v>
      </c>
      <c r="O22" s="30"/>
      <c r="P22" s="30"/>
      <c r="Q22" s="30">
        <f t="shared" ref="Q22" si="80">ROUND(H22+J22+L22+N22+P22,0)</f>
        <v>23000000</v>
      </c>
      <c r="R22" s="30">
        <f>VLOOKUP(B22,'[1]Đi tàu'!$B$7:$F$119,5,FALSE)</f>
        <v>540000</v>
      </c>
      <c r="S22" s="34">
        <f>VLOOKUP(B22,[2]T3!$B$7:$F$116,5,FALSE)</f>
        <v>30000</v>
      </c>
      <c r="T22" s="40">
        <f t="shared" si="70"/>
        <v>2615800</v>
      </c>
      <c r="U22" s="34"/>
      <c r="V22" s="30">
        <f t="shared" ref="V22" si="81">ROUND(Q22-R22-S22-T22-U22,0)</f>
        <v>19814200</v>
      </c>
      <c r="W22" s="99"/>
    </row>
    <row r="23" spans="1:23" s="37" customFormat="1" ht="18" customHeight="1" x14ac:dyDescent="0.25">
      <c r="A23" s="30">
        <v>12</v>
      </c>
      <c r="B23" s="31">
        <v>2931</v>
      </c>
      <c r="C23" s="111" t="s">
        <v>412</v>
      </c>
      <c r="D23" s="30" t="s">
        <v>10</v>
      </c>
      <c r="E23" s="33">
        <v>45934</v>
      </c>
      <c r="F23" s="30">
        <v>31</v>
      </c>
      <c r="G23" s="30">
        <v>6630000</v>
      </c>
      <c r="H23" s="30">
        <f t="shared" ref="H23" si="82">ROUND(G23*F23/$C$3,0)</f>
        <v>6630000</v>
      </c>
      <c r="I23" s="30">
        <v>7548000</v>
      </c>
      <c r="J23" s="30">
        <f t="shared" ref="J23" si="83">ROUND(I23*F23/$C$3,0)</f>
        <v>7548000</v>
      </c>
      <c r="K23" s="30">
        <v>4080000</v>
      </c>
      <c r="L23" s="30">
        <f t="shared" ref="L23" si="84">ROUND(K23*F23/$C$3,0)</f>
        <v>4080000</v>
      </c>
      <c r="M23" s="30">
        <v>4742000</v>
      </c>
      <c r="N23" s="30">
        <f t="shared" ref="N23" si="85">ROUND(M23*F23/$C$3,0)</f>
        <v>4742000</v>
      </c>
      <c r="O23" s="30"/>
      <c r="P23" s="30"/>
      <c r="Q23" s="30">
        <f t="shared" ref="Q23" si="86">ROUND(H23+J23+L23+N23+P23,0)</f>
        <v>23000000</v>
      </c>
      <c r="R23" s="30">
        <f>VLOOKUP(B23,'[1]Đi tàu'!$B$7:$F$119,5,FALSE)</f>
        <v>540000</v>
      </c>
      <c r="S23" s="34">
        <f>VLOOKUP(B23,[2]T3!$B$7:$F$116,5,FALSE)</f>
        <v>30000</v>
      </c>
      <c r="T23" s="40">
        <f t="shared" si="70"/>
        <v>2615800</v>
      </c>
      <c r="U23" s="34"/>
      <c r="V23" s="30">
        <f t="shared" ref="V23" si="87">ROUND(Q23-R23-S23-T23-U23,0)</f>
        <v>19814200</v>
      </c>
      <c r="W23" s="99"/>
    </row>
    <row r="24" spans="1:23" s="37" customFormat="1" ht="18" customHeight="1" x14ac:dyDescent="0.25">
      <c r="A24" s="30">
        <v>13</v>
      </c>
      <c r="B24" s="31">
        <v>3031</v>
      </c>
      <c r="C24" s="32" t="s">
        <v>153</v>
      </c>
      <c r="D24" s="30" t="s">
        <v>11</v>
      </c>
      <c r="E24" s="33">
        <v>45807</v>
      </c>
      <c r="F24" s="30">
        <v>11</v>
      </c>
      <c r="G24" s="30">
        <v>5655000</v>
      </c>
      <c r="H24" s="30">
        <f>ROUND(G24*F24/$C$3,0)</f>
        <v>2006613</v>
      </c>
      <c r="I24" s="30">
        <v>6438000</v>
      </c>
      <c r="J24" s="30">
        <f t="shared" ref="J24" si="88">ROUND(I24*F24/$C$3,0)</f>
        <v>2284452</v>
      </c>
      <c r="K24" s="30">
        <v>3480000</v>
      </c>
      <c r="L24" s="30">
        <f t="shared" ref="L24" si="89">ROUND(K24*F24/$C$3,0)</f>
        <v>1234839</v>
      </c>
      <c r="M24" s="30">
        <v>2427000</v>
      </c>
      <c r="N24" s="30">
        <f t="shared" ref="N24" si="90">ROUND(M24*F24/$C$3,0)</f>
        <v>861194</v>
      </c>
      <c r="O24" s="30"/>
      <c r="P24" s="30"/>
      <c r="Q24" s="30">
        <f t="shared" ref="Q24" si="91">ROUND(H24+J24+L24+N24+P24,0)</f>
        <v>6387098</v>
      </c>
      <c r="R24" s="30"/>
      <c r="S24" s="34"/>
      <c r="T24" s="40"/>
      <c r="U24" s="34"/>
      <c r="V24" s="30">
        <f t="shared" ref="V24" si="92">ROUND(Q24-R24-S24-T24-U24,0)</f>
        <v>6387098</v>
      </c>
      <c r="W24" s="99" t="s">
        <v>248</v>
      </c>
    </row>
    <row r="25" spans="1:23" s="37" customFormat="1" ht="18" customHeight="1" x14ac:dyDescent="0.25">
      <c r="A25" s="30" t="s">
        <v>521</v>
      </c>
      <c r="B25" s="31">
        <v>2899</v>
      </c>
      <c r="C25" s="32" t="s">
        <v>132</v>
      </c>
      <c r="D25" s="30" t="s">
        <v>10</v>
      </c>
      <c r="E25" s="33">
        <v>46091</v>
      </c>
      <c r="F25" s="30">
        <v>22</v>
      </c>
      <c r="G25" s="30">
        <v>6630000</v>
      </c>
      <c r="H25" s="30">
        <f>ROUND(G25*F25/$C$3,0)</f>
        <v>4705161</v>
      </c>
      <c r="I25" s="30">
        <v>7548000</v>
      </c>
      <c r="J25" s="30">
        <f>ROUND(I25*F25/$C$3,0)</f>
        <v>5356645</v>
      </c>
      <c r="K25" s="30">
        <v>4080000</v>
      </c>
      <c r="L25" s="30">
        <f>ROUND(K25*F25/$C$3,0)</f>
        <v>2895484</v>
      </c>
      <c r="M25" s="30">
        <v>4742000</v>
      </c>
      <c r="N25" s="30">
        <f>ROUND(M25*F25/$C$3,0)</f>
        <v>3365290</v>
      </c>
      <c r="O25" s="30"/>
      <c r="P25" s="30"/>
      <c r="Q25" s="30">
        <f t="shared" ref="Q25" si="93">ROUND(H25+J25+L25+N25+P25,0)</f>
        <v>16322580</v>
      </c>
      <c r="R25" s="30">
        <f>VLOOKUP(B25,'[1]Đi tàu'!$B$7:$F$119,5,FALSE)</f>
        <v>540000</v>
      </c>
      <c r="S25" s="34">
        <f>VLOOKUP(B25,[2]T3!$B$7:$F$116,5,FALSE)</f>
        <v>30000</v>
      </c>
      <c r="T25" s="40">
        <f t="shared" si="70"/>
        <v>2615800</v>
      </c>
      <c r="U25" s="34"/>
      <c r="V25" s="30">
        <f>ROUND(Q25-R25-S25-T25-U25,0)</f>
        <v>13136780</v>
      </c>
      <c r="W25" s="99"/>
    </row>
    <row r="26" spans="1:23" s="37" customFormat="1" ht="18" customHeight="1" x14ac:dyDescent="0.25">
      <c r="A26" s="30">
        <v>14</v>
      </c>
      <c r="B26" s="31">
        <v>2991</v>
      </c>
      <c r="C26" s="32" t="s">
        <v>255</v>
      </c>
      <c r="D26" s="30" t="s">
        <v>11</v>
      </c>
      <c r="E26" s="33">
        <v>45887</v>
      </c>
      <c r="F26" s="30">
        <v>11</v>
      </c>
      <c r="G26" s="30">
        <v>5655000</v>
      </c>
      <c r="H26" s="30">
        <f>ROUND(G26*F26/$C$3,0)</f>
        <v>2006613</v>
      </c>
      <c r="I26" s="30">
        <v>6438000</v>
      </c>
      <c r="J26" s="30">
        <f t="shared" ref="J26" si="94">ROUND(I26*F26/$C$3,0)</f>
        <v>2284452</v>
      </c>
      <c r="K26" s="30">
        <v>3480000</v>
      </c>
      <c r="L26" s="30">
        <f t="shared" ref="L26" si="95">ROUND(K26*F26/$C$3,0)</f>
        <v>1234839</v>
      </c>
      <c r="M26" s="30">
        <v>2427000</v>
      </c>
      <c r="N26" s="30">
        <f t="shared" ref="N26" si="96">ROUND(M26*F26/$C$3,0)</f>
        <v>861194</v>
      </c>
      <c r="O26" s="30"/>
      <c r="P26" s="30"/>
      <c r="Q26" s="30">
        <f t="shared" ref="Q26" si="97">ROUND(H26+J26+L26+N26+P26,0)</f>
        <v>6387098</v>
      </c>
      <c r="R26" s="30"/>
      <c r="S26" s="34"/>
      <c r="T26" s="40"/>
      <c r="U26" s="34"/>
      <c r="V26" s="30">
        <f t="shared" ref="V26" si="98">ROUND(Q26-R26-S26-T26-U26,0)</f>
        <v>6387098</v>
      </c>
      <c r="W26" s="99" t="s">
        <v>413</v>
      </c>
    </row>
    <row r="27" spans="1:23" s="37" customFormat="1" ht="18" customHeight="1" x14ac:dyDescent="0.25">
      <c r="A27" s="30">
        <v>15</v>
      </c>
      <c r="B27" s="31">
        <v>2841</v>
      </c>
      <c r="C27" s="32" t="s">
        <v>477</v>
      </c>
      <c r="D27" s="30" t="s">
        <v>12</v>
      </c>
      <c r="E27" s="33">
        <v>46060</v>
      </c>
      <c r="F27" s="30">
        <v>31</v>
      </c>
      <c r="G27" s="30">
        <v>8385000</v>
      </c>
      <c r="H27" s="30">
        <f t="shared" ref="H27:H28" si="99">ROUND(G27*F27/$C$3,0)</f>
        <v>8385000</v>
      </c>
      <c r="I27" s="30">
        <v>9546000</v>
      </c>
      <c r="J27" s="30">
        <f t="shared" ref="J27:J28" si="100">ROUND(I27*F27/$C$3,0)</f>
        <v>9546000</v>
      </c>
      <c r="K27" s="30">
        <v>5160000</v>
      </c>
      <c r="L27" s="30">
        <f t="shared" ref="L27:L28" si="101">ROUND(K27*F27/$C$3,0)</f>
        <v>5160000</v>
      </c>
      <c r="M27" s="30">
        <v>4909000</v>
      </c>
      <c r="N27" s="30">
        <f t="shared" ref="N27:N28" si="102">ROUND(M27*F27/$C$3,0)</f>
        <v>4909000</v>
      </c>
      <c r="O27" s="30"/>
      <c r="P27" s="30"/>
      <c r="Q27" s="30">
        <f>ROUND(H27+J27+L27+N27+P27,0)</f>
        <v>28000000</v>
      </c>
      <c r="R27" s="30">
        <f>VLOOKUP(B27,'[1]Đi tàu'!$B$7:$F$119,5,FALSE)</f>
        <v>585000</v>
      </c>
      <c r="S27" s="34">
        <f>VLOOKUP(B27,[2]T3!$B$7:$F$116,5,FALSE)</f>
        <v>32500</v>
      </c>
      <c r="T27" s="40">
        <f t="shared" si="70"/>
        <v>2615800</v>
      </c>
      <c r="U27" s="34"/>
      <c r="V27" s="30">
        <f t="shared" ref="V27" si="103">ROUND(Q27-R27-S27-T27-U27,0)</f>
        <v>24766700</v>
      </c>
      <c r="W27" s="99"/>
    </row>
    <row r="28" spans="1:23" s="37" customFormat="1" ht="18" customHeight="1" x14ac:dyDescent="0.25">
      <c r="A28" s="30">
        <v>16</v>
      </c>
      <c r="B28" s="31">
        <v>2836</v>
      </c>
      <c r="C28" s="32" t="s">
        <v>254</v>
      </c>
      <c r="D28" s="30" t="s">
        <v>13</v>
      </c>
      <c r="E28" s="33">
        <v>45887</v>
      </c>
      <c r="F28" s="30">
        <v>27</v>
      </c>
      <c r="G28" s="30">
        <v>6630000</v>
      </c>
      <c r="H28" s="30">
        <f t="shared" si="99"/>
        <v>5774516</v>
      </c>
      <c r="I28" s="30">
        <v>7548000</v>
      </c>
      <c r="J28" s="30">
        <f t="shared" si="100"/>
        <v>6574065</v>
      </c>
      <c r="K28" s="30">
        <v>4080000</v>
      </c>
      <c r="L28" s="30">
        <f t="shared" si="101"/>
        <v>3553548</v>
      </c>
      <c r="M28" s="30">
        <v>4742000</v>
      </c>
      <c r="N28" s="30">
        <f t="shared" si="102"/>
        <v>4130129</v>
      </c>
      <c r="O28" s="30"/>
      <c r="P28" s="30"/>
      <c r="Q28" s="30">
        <f t="shared" ref="Q28" si="104">ROUND(H28+J28+L28+N28+P28,0)</f>
        <v>20032258</v>
      </c>
      <c r="R28" s="30">
        <f>VLOOKUP(B28,'[1]Đi tàu'!$B$7:$F$119,5,FALSE)</f>
        <v>540000</v>
      </c>
      <c r="S28" s="34">
        <f>VLOOKUP(B28,[2]T3!$B$7:$F$116,5,FALSE)</f>
        <v>30000</v>
      </c>
      <c r="T28" s="40">
        <f t="shared" si="70"/>
        <v>2615800</v>
      </c>
      <c r="U28" s="34"/>
      <c r="V28" s="30">
        <f>ROUND(Q28-R28-S28-T28-U28,0)</f>
        <v>16846458</v>
      </c>
      <c r="W28" s="99"/>
    </row>
    <row r="29" spans="1:23" s="37" customFormat="1" ht="18" customHeight="1" x14ac:dyDescent="0.25">
      <c r="A29" s="30" t="s">
        <v>546</v>
      </c>
      <c r="B29" s="31">
        <v>2951</v>
      </c>
      <c r="C29" s="32" t="s">
        <v>547</v>
      </c>
      <c r="D29" s="30" t="s">
        <v>13</v>
      </c>
      <c r="E29" s="33">
        <v>46107</v>
      </c>
      <c r="F29" s="30">
        <v>6</v>
      </c>
      <c r="G29" s="30">
        <v>6630000</v>
      </c>
      <c r="H29" s="30">
        <f t="shared" ref="H29" si="105">ROUND(G29*F29/$C$3,0)</f>
        <v>1283226</v>
      </c>
      <c r="I29" s="30">
        <v>7548000</v>
      </c>
      <c r="J29" s="30">
        <f t="shared" ref="J29" si="106">ROUND(I29*F29/$C$3,0)</f>
        <v>1460903</v>
      </c>
      <c r="K29" s="30">
        <v>4080000</v>
      </c>
      <c r="L29" s="30">
        <f t="shared" ref="L29" si="107">ROUND(K29*F29/$C$3,0)</f>
        <v>789677</v>
      </c>
      <c r="M29" s="30">
        <v>4742000</v>
      </c>
      <c r="N29" s="30">
        <f t="shared" ref="N29" si="108">ROUND(M29*F29/$C$3,0)</f>
        <v>917806</v>
      </c>
      <c r="O29" s="30"/>
      <c r="P29" s="30"/>
      <c r="Q29" s="30">
        <f t="shared" ref="Q29" si="109">ROUND(H29+J29+L29+N29+P29,0)</f>
        <v>4451612</v>
      </c>
      <c r="R29" s="30"/>
      <c r="S29" s="34"/>
      <c r="T29" s="40"/>
      <c r="U29" s="34"/>
      <c r="V29" s="30">
        <f>ROUND(Q29-R29-S29-T29-U29,0)</f>
        <v>4451612</v>
      </c>
      <c r="W29" s="99"/>
    </row>
    <row r="30" spans="1:23" s="37" customFormat="1" ht="18" customHeight="1" x14ac:dyDescent="0.25">
      <c r="A30" s="30">
        <v>17</v>
      </c>
      <c r="B30" s="31">
        <v>2465</v>
      </c>
      <c r="C30" s="111" t="s">
        <v>253</v>
      </c>
      <c r="D30" s="30" t="s">
        <v>13</v>
      </c>
      <c r="E30" s="33">
        <v>45887</v>
      </c>
      <c r="F30" s="30">
        <v>31</v>
      </c>
      <c r="G30" s="30">
        <v>6630000</v>
      </c>
      <c r="H30" s="30">
        <f t="shared" ref="H30" si="110">ROUND(G30*F30/$C$3,0)</f>
        <v>6630000</v>
      </c>
      <c r="I30" s="30">
        <v>7548000</v>
      </c>
      <c r="J30" s="30">
        <f t="shared" ref="J30" si="111">ROUND(I30*F30/$C$3,0)</f>
        <v>7548000</v>
      </c>
      <c r="K30" s="30">
        <v>4080000</v>
      </c>
      <c r="L30" s="30">
        <f t="shared" ref="L30" si="112">ROUND(K30*F30/$C$3,0)</f>
        <v>4080000</v>
      </c>
      <c r="M30" s="30">
        <v>4742000</v>
      </c>
      <c r="N30" s="30">
        <f t="shared" ref="N30" si="113">ROUND(M30*F30/$C$3,0)</f>
        <v>4742000</v>
      </c>
      <c r="O30" s="30"/>
      <c r="P30" s="30"/>
      <c r="Q30" s="30">
        <f t="shared" ref="Q30" si="114">ROUND(H30+J30+L30+N30+P30,0)</f>
        <v>23000000</v>
      </c>
      <c r="R30" s="30">
        <f>VLOOKUP(B30,'[1]Đi tàu'!$B$7:$F$119,5,FALSE)</f>
        <v>540000</v>
      </c>
      <c r="S30" s="34">
        <f>VLOOKUP(B30,[2]T3!$B$7:$F$116,5,FALSE)</f>
        <v>30000</v>
      </c>
      <c r="T30" s="40">
        <f t="shared" si="70"/>
        <v>2615800</v>
      </c>
      <c r="U30" s="34"/>
      <c r="V30" s="30">
        <f t="shared" ref="V30" si="115">ROUND(Q30-R30-S30-T30-U30,0)</f>
        <v>19814200</v>
      </c>
      <c r="W30" s="99"/>
    </row>
    <row r="31" spans="1:23" s="37" customFormat="1" ht="18" customHeight="1" x14ac:dyDescent="0.25">
      <c r="A31" s="30">
        <v>18</v>
      </c>
      <c r="B31" s="31">
        <v>2806</v>
      </c>
      <c r="C31" s="32" t="s">
        <v>478</v>
      </c>
      <c r="D31" s="30" t="s">
        <v>13</v>
      </c>
      <c r="E31" s="33">
        <v>46060</v>
      </c>
      <c r="F31" s="30">
        <v>31</v>
      </c>
      <c r="G31" s="30">
        <v>6630000</v>
      </c>
      <c r="H31" s="30">
        <f t="shared" ref="H31:H32" si="116">ROUND(G31*F31/$C$3,0)</f>
        <v>6630000</v>
      </c>
      <c r="I31" s="30">
        <v>7548000</v>
      </c>
      <c r="J31" s="30">
        <f t="shared" ref="J31:J32" si="117">ROUND(I31*F31/$C$3,0)</f>
        <v>7548000</v>
      </c>
      <c r="K31" s="30">
        <v>4080000</v>
      </c>
      <c r="L31" s="30">
        <f t="shared" ref="L31:L32" si="118">ROUND(K31*F31/$C$3,0)</f>
        <v>4080000</v>
      </c>
      <c r="M31" s="30">
        <v>4742000</v>
      </c>
      <c r="N31" s="30">
        <f t="shared" ref="N31:N32" si="119">ROUND(M31*F31/$C$3,0)</f>
        <v>4742000</v>
      </c>
      <c r="O31" s="30"/>
      <c r="P31" s="30"/>
      <c r="Q31" s="30">
        <f t="shared" ref="Q31:Q32" si="120">ROUND(H31+J31+L31+N31+P31,0)</f>
        <v>23000000</v>
      </c>
      <c r="R31" s="30">
        <f>VLOOKUP(B31,'[1]Đi tàu'!$B$7:$F$119,5,FALSE)</f>
        <v>540000</v>
      </c>
      <c r="S31" s="34">
        <f>VLOOKUP(B31,[2]T3!$B$7:$F$116,5,FALSE)</f>
        <v>30000</v>
      </c>
      <c r="T31" s="40">
        <f t="shared" si="70"/>
        <v>2615800</v>
      </c>
      <c r="U31" s="34"/>
      <c r="V31" s="30">
        <f t="shared" ref="V31:V32" si="121">ROUND(Q31-R31-S31-T31-U31,0)</f>
        <v>19814200</v>
      </c>
      <c r="W31" s="99"/>
    </row>
    <row r="32" spans="1:23" s="37" customFormat="1" ht="18" customHeight="1" x14ac:dyDescent="0.25">
      <c r="A32" s="30">
        <v>19</v>
      </c>
      <c r="B32" s="31">
        <v>1676</v>
      </c>
      <c r="C32" s="32" t="s">
        <v>152</v>
      </c>
      <c r="D32" s="30" t="s">
        <v>14</v>
      </c>
      <c r="E32" s="33">
        <v>45807</v>
      </c>
      <c r="F32" s="30">
        <v>11</v>
      </c>
      <c r="G32" s="30">
        <v>8385000</v>
      </c>
      <c r="H32" s="30">
        <f t="shared" si="116"/>
        <v>2975323</v>
      </c>
      <c r="I32" s="30">
        <v>9546000</v>
      </c>
      <c r="J32" s="30">
        <f t="shared" si="117"/>
        <v>3387290</v>
      </c>
      <c r="K32" s="30">
        <v>5160000</v>
      </c>
      <c r="L32" s="30">
        <f t="shared" si="118"/>
        <v>1830968</v>
      </c>
      <c r="M32" s="30">
        <v>4909000</v>
      </c>
      <c r="N32" s="30">
        <f t="shared" si="119"/>
        <v>1741903</v>
      </c>
      <c r="O32" s="30"/>
      <c r="P32" s="30"/>
      <c r="Q32" s="30">
        <f t="shared" si="120"/>
        <v>9935484</v>
      </c>
      <c r="R32" s="30"/>
      <c r="S32" s="34"/>
      <c r="T32" s="40"/>
      <c r="U32" s="34"/>
      <c r="V32" s="30">
        <f t="shared" si="121"/>
        <v>9935484</v>
      </c>
      <c r="W32" s="99"/>
    </row>
    <row r="33" spans="1:23" s="37" customFormat="1" ht="18" customHeight="1" x14ac:dyDescent="0.25">
      <c r="A33" s="30" t="s">
        <v>522</v>
      </c>
      <c r="B33" s="31">
        <v>2794</v>
      </c>
      <c r="C33" s="32" t="s">
        <v>480</v>
      </c>
      <c r="D33" s="30" t="s">
        <v>14</v>
      </c>
      <c r="E33" s="33">
        <v>46060</v>
      </c>
      <c r="F33" s="30">
        <v>21</v>
      </c>
      <c r="G33" s="30">
        <v>8385000</v>
      </c>
      <c r="H33" s="30">
        <f t="shared" ref="H33:H35" si="122">ROUND(G33*F33/$C$3,0)</f>
        <v>5680161</v>
      </c>
      <c r="I33" s="30">
        <v>9546000</v>
      </c>
      <c r="J33" s="30">
        <f t="shared" ref="J33:J35" si="123">ROUND(I33*F33/$C$3,0)</f>
        <v>6466645</v>
      </c>
      <c r="K33" s="30">
        <v>5160000</v>
      </c>
      <c r="L33" s="30">
        <f t="shared" ref="L33:L35" si="124">ROUND(K33*F33/$C$3,0)</f>
        <v>3495484</v>
      </c>
      <c r="M33" s="30">
        <v>4909000</v>
      </c>
      <c r="N33" s="30">
        <f t="shared" ref="N33:N35" si="125">ROUND(M33*F33/$C$3,0)</f>
        <v>3325452</v>
      </c>
      <c r="O33" s="30"/>
      <c r="P33" s="30"/>
      <c r="Q33" s="30">
        <f t="shared" ref="Q33:Q35" si="126">ROUND(H33+J33+L33+N33+P33,0)</f>
        <v>18967742</v>
      </c>
      <c r="R33" s="30">
        <f>VLOOKUP(B33,'[1]Đi tàu'!$B$7:$F$119,5,FALSE)</f>
        <v>585000</v>
      </c>
      <c r="S33" s="34">
        <f>VLOOKUP(B33,[2]T3!$B$7:$F$116,5,FALSE)</f>
        <v>32500</v>
      </c>
      <c r="T33" s="40">
        <f t="shared" si="70"/>
        <v>2615800</v>
      </c>
      <c r="U33" s="34"/>
      <c r="V33" s="30">
        <f t="shared" ref="V33:V35" si="127">ROUND(Q33-R33-S33-T33-U33,0)</f>
        <v>15734442</v>
      </c>
      <c r="W33" s="99" t="s">
        <v>517</v>
      </c>
    </row>
    <row r="34" spans="1:23" s="37" customFormat="1" ht="18" customHeight="1" x14ac:dyDescent="0.25">
      <c r="A34" s="30">
        <v>20</v>
      </c>
      <c r="B34" s="31">
        <v>2794</v>
      </c>
      <c r="C34" s="32" t="s">
        <v>480</v>
      </c>
      <c r="D34" s="30" t="s">
        <v>15</v>
      </c>
      <c r="E34" s="33">
        <v>46060</v>
      </c>
      <c r="F34" s="30">
        <v>10</v>
      </c>
      <c r="G34" s="30">
        <v>5655000</v>
      </c>
      <c r="H34" s="30">
        <f t="shared" ref="H34" si="128">ROUND(G34*F34/$C$3,0)</f>
        <v>1824194</v>
      </c>
      <c r="I34" s="30">
        <v>6438000</v>
      </c>
      <c r="J34" s="30">
        <f t="shared" ref="J34" si="129">ROUND(I34*F34/$C$3,0)</f>
        <v>2076774</v>
      </c>
      <c r="K34" s="30">
        <v>3480000</v>
      </c>
      <c r="L34" s="30">
        <f t="shared" ref="L34" si="130">ROUND(K34*F34/$C$3,0)</f>
        <v>1122581</v>
      </c>
      <c r="M34" s="30">
        <v>1427000</v>
      </c>
      <c r="N34" s="30">
        <f t="shared" ref="N34" si="131">ROUND(M34*F34/$C$3,0)</f>
        <v>460323</v>
      </c>
      <c r="O34" s="30"/>
      <c r="P34" s="30"/>
      <c r="Q34" s="30">
        <f t="shared" ref="Q34" si="132">ROUND(H34+J34+L34+N34+P34,0)</f>
        <v>5483872</v>
      </c>
      <c r="R34" s="30"/>
      <c r="S34" s="34"/>
      <c r="T34" s="40"/>
      <c r="U34" s="34"/>
      <c r="V34" s="30">
        <f t="shared" ref="V34" si="133">ROUND(Q34-R34-S34-T34-U34,0)</f>
        <v>5483872</v>
      </c>
      <c r="W34" s="99"/>
    </row>
    <row r="35" spans="1:23" s="37" customFormat="1" ht="18" customHeight="1" x14ac:dyDescent="0.25">
      <c r="A35" s="30" t="s">
        <v>479</v>
      </c>
      <c r="B35" s="31">
        <v>2648</v>
      </c>
      <c r="C35" s="111" t="s">
        <v>519</v>
      </c>
      <c r="D35" s="30" t="s">
        <v>15</v>
      </c>
      <c r="E35" s="33">
        <v>46091</v>
      </c>
      <c r="F35" s="30">
        <v>22</v>
      </c>
      <c r="G35" s="30">
        <v>5655000</v>
      </c>
      <c r="H35" s="30">
        <f t="shared" si="122"/>
        <v>4013226</v>
      </c>
      <c r="I35" s="30">
        <v>6438000</v>
      </c>
      <c r="J35" s="30">
        <f t="shared" si="123"/>
        <v>4568903</v>
      </c>
      <c r="K35" s="30">
        <v>3480000</v>
      </c>
      <c r="L35" s="30">
        <f t="shared" si="124"/>
        <v>2469677</v>
      </c>
      <c r="M35" s="30">
        <v>1427000</v>
      </c>
      <c r="N35" s="30">
        <f t="shared" si="125"/>
        <v>1012710</v>
      </c>
      <c r="O35" s="30"/>
      <c r="P35" s="30"/>
      <c r="Q35" s="30">
        <f t="shared" si="126"/>
        <v>12064516</v>
      </c>
      <c r="R35" s="30">
        <f>VLOOKUP(B35,'[1]Đi tàu'!$B$7:$F$119,5,FALSE)</f>
        <v>540000</v>
      </c>
      <c r="S35" s="34">
        <f>VLOOKUP(B35,[2]T3!$B$7:$F$116,5,FALSE)</f>
        <v>30000</v>
      </c>
      <c r="T35" s="40">
        <f t="shared" si="70"/>
        <v>2615800</v>
      </c>
      <c r="U35" s="34"/>
      <c r="V35" s="30">
        <f t="shared" si="127"/>
        <v>8878716</v>
      </c>
      <c r="W35" s="99"/>
    </row>
    <row r="36" spans="1:23" s="49" customFormat="1" ht="19.5" customHeight="1" x14ac:dyDescent="0.25">
      <c r="A36" s="74"/>
      <c r="B36" s="43"/>
      <c r="C36" s="44" t="s">
        <v>21</v>
      </c>
      <c r="D36" s="43"/>
      <c r="E36" s="43"/>
      <c r="F36" s="70">
        <f>SUM(F6:F35)</f>
        <v>621</v>
      </c>
      <c r="G36" s="42"/>
      <c r="H36" s="42">
        <f>SUM(H6:H35)</f>
        <v>209090322</v>
      </c>
      <c r="I36" s="42"/>
      <c r="J36" s="42">
        <f>SUM(J6:J35)</f>
        <v>238041290</v>
      </c>
      <c r="K36" s="42"/>
      <c r="L36" s="42">
        <f>SUM(L6:L35)</f>
        <v>128670967</v>
      </c>
      <c r="M36" s="42"/>
      <c r="N36" s="42">
        <f>SUM(N6:N35)</f>
        <v>101934195</v>
      </c>
      <c r="O36" s="42"/>
      <c r="P36" s="42">
        <f t="shared" ref="P36:V36" si="134">SUM(P6:P35)</f>
        <v>31790322</v>
      </c>
      <c r="Q36" s="42">
        <f t="shared" si="134"/>
        <v>709527096</v>
      </c>
      <c r="R36" s="42">
        <f t="shared" si="134"/>
        <v>11790000</v>
      </c>
      <c r="S36" s="42">
        <f t="shared" si="134"/>
        <v>655000</v>
      </c>
      <c r="T36" s="42">
        <f t="shared" si="134"/>
        <v>70626600</v>
      </c>
      <c r="U36" s="42">
        <f t="shared" si="134"/>
        <v>0</v>
      </c>
      <c r="V36" s="42">
        <f t="shared" si="134"/>
        <v>626455496</v>
      </c>
      <c r="W36" s="46"/>
    </row>
    <row r="37" spans="1:23" s="37" customFormat="1" ht="15.75" customHeight="1" x14ac:dyDescent="0.25">
      <c r="A37" s="51"/>
      <c r="B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3" s="59" customFormat="1" ht="15" customHeight="1" x14ac:dyDescent="0.25">
      <c r="A38" s="58"/>
      <c r="B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U38" s="61"/>
      <c r="W38" s="62" t="s">
        <v>453</v>
      </c>
    </row>
    <row r="39" spans="1:23" s="63" customFormat="1" ht="18" customHeight="1" x14ac:dyDescent="0.35">
      <c r="B39" s="63" t="s">
        <v>45</v>
      </c>
      <c r="D39" s="63" t="s">
        <v>46</v>
      </c>
      <c r="Q39" s="63" t="s">
        <v>47</v>
      </c>
      <c r="U39" s="63" t="s">
        <v>48</v>
      </c>
    </row>
    <row r="40" spans="1:23" s="2" customFormat="1" ht="13.2" x14ac:dyDescent="0.25"/>
    <row r="41" spans="1:23" s="2" customFormat="1" ht="13.2" x14ac:dyDescent="0.25"/>
    <row r="42" spans="1:23" s="2" customFormat="1" ht="13.2" x14ac:dyDescent="0.25"/>
    <row r="43" spans="1:23" s="2" customFormat="1" ht="13.2" x14ac:dyDescent="0.25"/>
    <row r="44" spans="1:23" s="2" customFormat="1" ht="13.2" x14ac:dyDescent="0.25"/>
  </sheetData>
  <mergeCells count="2">
    <mergeCell ref="A1:W1"/>
    <mergeCell ref="A2:W2"/>
  </mergeCells>
  <phoneticPr fontId="2" type="noConversion"/>
  <printOptions horizontalCentered="1"/>
  <pageMargins left="0" right="0" top="0.5" bottom="0.5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U176"/>
  <sheetViews>
    <sheetView topLeftCell="A52" zoomScaleNormal="100" workbookViewId="0">
      <selection activeCell="U160" sqref="U160"/>
    </sheetView>
  </sheetViews>
  <sheetFormatPr defaultColWidth="8.88671875" defaultRowHeight="13.2" x14ac:dyDescent="0.25"/>
  <cols>
    <col min="1" max="1" width="3.44140625" style="2" customWidth="1"/>
    <col min="2" max="2" width="6.33203125" style="2" customWidth="1"/>
    <col min="3" max="3" width="16.6640625" style="2" customWidth="1"/>
    <col min="4" max="4" width="8" style="2" customWidth="1"/>
    <col min="5" max="5" width="8.33203125" style="2" customWidth="1"/>
    <col min="6" max="6" width="5.6640625" style="2" customWidth="1"/>
    <col min="7" max="7" width="9.6640625" style="2" hidden="1" customWidth="1"/>
    <col min="8" max="8" width="10.33203125" style="2" customWidth="1"/>
    <col min="9" max="9" width="9.44140625" style="2" hidden="1" customWidth="1"/>
    <col min="10" max="10" width="10.88671875" style="2" customWidth="1"/>
    <col min="11" max="11" width="7.88671875" style="2" hidden="1" customWidth="1"/>
    <col min="12" max="12" width="8.88671875" style="2" hidden="1" customWidth="1"/>
    <col min="13" max="14" width="11.109375" style="2" hidden="1" customWidth="1"/>
    <col min="15" max="15" width="11" style="2" customWidth="1"/>
    <col min="16" max="16" width="10.6640625" style="2" customWidth="1"/>
    <col min="17" max="17" width="9.5546875" style="2" customWidth="1"/>
    <col min="18" max="18" width="10.6640625" style="2" customWidth="1"/>
    <col min="19" max="19" width="7.44140625" style="2" customWidth="1"/>
    <col min="20" max="20" width="12.33203125" style="2" customWidth="1"/>
    <col min="21" max="21" width="7.88671875" style="2" customWidth="1"/>
    <col min="22" max="16384" width="8.88671875" style="2"/>
  </cols>
  <sheetData>
    <row r="1" spans="1:21" s="24" customFormat="1" ht="21" customHeight="1" x14ac:dyDescent="0.25">
      <c r="A1" s="168" t="s">
        <v>54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</row>
    <row r="2" spans="1:21" s="86" customFormat="1" ht="21" customHeight="1" x14ac:dyDescent="0.25">
      <c r="A2" s="168" t="s">
        <v>434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</row>
    <row r="3" spans="1:21" s="24" customFormat="1" ht="14.4" x14ac:dyDescent="0.3">
      <c r="A3" s="11"/>
      <c r="B3" s="11"/>
      <c r="C3" s="13">
        <v>31</v>
      </c>
      <c r="D3" s="14"/>
      <c r="E3" s="14"/>
      <c r="F3" s="11"/>
      <c r="G3" s="11"/>
      <c r="H3" s="11"/>
      <c r="I3" s="11"/>
      <c r="J3" s="11"/>
      <c r="K3" s="11"/>
      <c r="L3" s="11"/>
      <c r="M3" s="11"/>
      <c r="N3" s="11"/>
      <c r="O3" s="11"/>
      <c r="P3" s="16"/>
      <c r="Q3" s="11"/>
      <c r="R3" s="87">
        <v>26158</v>
      </c>
      <c r="S3" s="11"/>
      <c r="U3" s="18" t="s">
        <v>24</v>
      </c>
    </row>
    <row r="4" spans="1:21" s="24" customFormat="1" ht="15.75" customHeight="1" x14ac:dyDescent="0.25">
      <c r="A4" s="19" t="s">
        <v>0</v>
      </c>
      <c r="B4" s="19" t="s">
        <v>25</v>
      </c>
      <c r="C4" s="20" t="s">
        <v>26</v>
      </c>
      <c r="D4" s="20" t="s">
        <v>27</v>
      </c>
      <c r="E4" s="21" t="s">
        <v>28</v>
      </c>
      <c r="F4" s="19" t="s">
        <v>28</v>
      </c>
      <c r="G4" s="22"/>
      <c r="H4" s="19" t="s">
        <v>31</v>
      </c>
      <c r="I4" s="22"/>
      <c r="J4" s="19" t="s">
        <v>32</v>
      </c>
      <c r="K4" s="22"/>
      <c r="L4" s="19" t="s">
        <v>33</v>
      </c>
      <c r="M4" s="22"/>
      <c r="N4" s="19" t="s">
        <v>33</v>
      </c>
      <c r="O4" s="19" t="s">
        <v>34</v>
      </c>
      <c r="P4" s="19" t="s">
        <v>62</v>
      </c>
      <c r="Q4" s="23" t="s">
        <v>35</v>
      </c>
      <c r="R4" s="19" t="s">
        <v>36</v>
      </c>
      <c r="S4" s="19" t="s">
        <v>37</v>
      </c>
      <c r="T4" s="19" t="s">
        <v>51</v>
      </c>
      <c r="U4" s="20" t="s">
        <v>55</v>
      </c>
    </row>
    <row r="5" spans="1:21" s="24" customFormat="1" ht="15.75" customHeight="1" x14ac:dyDescent="0.25">
      <c r="A5" s="25"/>
      <c r="B5" s="25"/>
      <c r="C5" s="26"/>
      <c r="D5" s="27" t="s">
        <v>2</v>
      </c>
      <c r="E5" s="28" t="s">
        <v>29</v>
      </c>
      <c r="F5" s="25" t="s">
        <v>30</v>
      </c>
      <c r="G5" s="26"/>
      <c r="H5" s="25" t="s">
        <v>20</v>
      </c>
      <c r="I5" s="26"/>
      <c r="J5" s="25" t="s">
        <v>38</v>
      </c>
      <c r="K5" s="26"/>
      <c r="L5" s="25" t="s">
        <v>39</v>
      </c>
      <c r="M5" s="26"/>
      <c r="N5" s="25" t="s">
        <v>40</v>
      </c>
      <c r="O5" s="25" t="s">
        <v>41</v>
      </c>
      <c r="P5" s="25" t="s">
        <v>63</v>
      </c>
      <c r="Q5" s="29"/>
      <c r="R5" s="25" t="s">
        <v>42</v>
      </c>
      <c r="S5" s="25"/>
      <c r="T5" s="25" t="s">
        <v>43</v>
      </c>
      <c r="U5" s="27" t="s">
        <v>44</v>
      </c>
    </row>
    <row r="6" spans="1:21" s="37" customFormat="1" ht="18" customHeight="1" x14ac:dyDescent="0.25">
      <c r="A6" s="30">
        <v>1</v>
      </c>
      <c r="B6" s="31"/>
      <c r="C6" s="32"/>
      <c r="D6" s="88" t="s">
        <v>18</v>
      </c>
      <c r="E6" s="33">
        <v>45882</v>
      </c>
      <c r="F6" s="30">
        <v>30</v>
      </c>
      <c r="G6" s="40">
        <v>5655000</v>
      </c>
      <c r="H6" s="30">
        <f>ROUND(G6*F6/$C$3,0)*50%</f>
        <v>2736290.5</v>
      </c>
      <c r="I6" s="40">
        <v>6438000</v>
      </c>
      <c r="J6" s="30">
        <f>ROUND(I6*F6/$C$3,0)*50%</f>
        <v>3115161.5</v>
      </c>
      <c r="K6" s="40">
        <v>3480000</v>
      </c>
      <c r="L6" s="30">
        <f>ROUND(K6*F6/$C$3,0)*50%</f>
        <v>1683871</v>
      </c>
      <c r="M6" s="40">
        <v>2427000</v>
      </c>
      <c r="N6" s="30">
        <f>ROUND(M6*F6/$C$3,0)*50%</f>
        <v>1174355</v>
      </c>
      <c r="O6" s="30">
        <f>H6+J6+L6+N6</f>
        <v>8709678</v>
      </c>
      <c r="P6" s="30" t="e">
        <f>VLOOKUP(B6,'[3]Đi tàu'!$B$7:$F$148,5,FALSE)</f>
        <v>#N/A</v>
      </c>
      <c r="Q6" s="34" t="e">
        <f>VLOOKUP(B6,[4]T11!$B$7:$F$123,5,FALSE)</f>
        <v>#N/A</v>
      </c>
      <c r="R6" s="67">
        <f>ROUND(100*$R$3,0)</f>
        <v>2615800</v>
      </c>
      <c r="S6" s="34"/>
      <c r="T6" s="30" t="e">
        <f>ROUND(O6-P6-Q6-R6-S6,0)</f>
        <v>#N/A</v>
      </c>
      <c r="U6" s="96"/>
    </row>
    <row r="7" spans="1:21" s="94" customFormat="1" ht="21.6" customHeight="1" x14ac:dyDescent="0.25">
      <c r="A7" s="90"/>
      <c r="B7" s="91"/>
      <c r="C7" s="79" t="s">
        <v>21</v>
      </c>
      <c r="D7" s="92"/>
      <c r="E7" s="92"/>
      <c r="F7" s="70">
        <f>SUM(F6:F6)</f>
        <v>30</v>
      </c>
      <c r="G7" s="42"/>
      <c r="H7" s="42">
        <f>SUM(H6:H6)</f>
        <v>2736290.5</v>
      </c>
      <c r="I7" s="42"/>
      <c r="J7" s="42">
        <f>SUM(J6:J6)</f>
        <v>3115161.5</v>
      </c>
      <c r="K7" s="42"/>
      <c r="L7" s="42">
        <f>SUM(L6:L6)</f>
        <v>1683871</v>
      </c>
      <c r="M7" s="42"/>
      <c r="N7" s="42">
        <f t="shared" ref="N7:T7" si="0">SUM(N6:N6)</f>
        <v>1174355</v>
      </c>
      <c r="O7" s="42">
        <f t="shared" si="0"/>
        <v>8709678</v>
      </c>
      <c r="P7" s="42" t="e">
        <f t="shared" si="0"/>
        <v>#N/A</v>
      </c>
      <c r="Q7" s="42" t="e">
        <f t="shared" si="0"/>
        <v>#N/A</v>
      </c>
      <c r="R7" s="42">
        <f t="shared" si="0"/>
        <v>2615800</v>
      </c>
      <c r="S7" s="42">
        <f t="shared" si="0"/>
        <v>0</v>
      </c>
      <c r="T7" s="42" t="e">
        <f t="shared" si="0"/>
        <v>#N/A</v>
      </c>
      <c r="U7" s="93"/>
    </row>
    <row r="8" spans="1:21" s="24" customFormat="1" x14ac:dyDescent="0.25">
      <c r="A8" s="35"/>
      <c r="B8" s="35"/>
      <c r="F8" s="35"/>
      <c r="H8" s="35"/>
      <c r="J8" s="35"/>
      <c r="L8" s="35"/>
      <c r="N8" s="35"/>
      <c r="O8" s="35"/>
      <c r="P8" s="35"/>
      <c r="Q8" s="35"/>
      <c r="R8" s="35"/>
      <c r="U8" s="85"/>
    </row>
    <row r="9" spans="1:21" s="59" customFormat="1" ht="15" customHeight="1" x14ac:dyDescent="0.25">
      <c r="A9" s="58"/>
      <c r="B9" s="58"/>
      <c r="F9" s="58"/>
      <c r="G9" s="58"/>
      <c r="H9" s="58"/>
      <c r="I9" s="58"/>
      <c r="J9" s="58"/>
      <c r="K9" s="58"/>
      <c r="L9" s="58"/>
      <c r="M9" s="58"/>
      <c r="N9" s="58"/>
      <c r="O9" s="58"/>
      <c r="S9" s="61"/>
      <c r="U9" s="62" t="s">
        <v>65</v>
      </c>
    </row>
    <row r="10" spans="1:21" s="63" customFormat="1" ht="18" customHeight="1" x14ac:dyDescent="0.35">
      <c r="B10" s="63" t="s">
        <v>45</v>
      </c>
      <c r="E10" s="63" t="s">
        <v>46</v>
      </c>
      <c r="O10" s="63" t="s">
        <v>47</v>
      </c>
      <c r="S10" s="63" t="s">
        <v>48</v>
      </c>
    </row>
    <row r="11" spans="1:21" s="24" customFormat="1" x14ac:dyDescent="0.25">
      <c r="A11" s="35"/>
      <c r="B11" s="35"/>
      <c r="F11" s="35"/>
      <c r="H11" s="35"/>
      <c r="J11" s="35"/>
      <c r="L11" s="35"/>
      <c r="N11" s="35"/>
      <c r="O11" s="35"/>
      <c r="P11" s="35"/>
      <c r="Q11" s="35"/>
      <c r="R11" s="35"/>
      <c r="U11" s="85"/>
    </row>
    <row r="12" spans="1:21" s="24" customFormat="1" x14ac:dyDescent="0.25">
      <c r="A12" s="35"/>
      <c r="B12" s="35"/>
      <c r="F12" s="35"/>
      <c r="H12" s="35"/>
      <c r="J12" s="35"/>
      <c r="L12" s="35"/>
      <c r="N12" s="35"/>
      <c r="O12" s="35"/>
      <c r="P12" s="35"/>
      <c r="Q12" s="35"/>
      <c r="R12" s="35"/>
      <c r="U12" s="85"/>
    </row>
    <row r="13" spans="1:21" s="24" customFormat="1" x14ac:dyDescent="0.25">
      <c r="A13" s="35"/>
      <c r="B13" s="35"/>
      <c r="F13" s="35"/>
      <c r="H13" s="35"/>
      <c r="J13" s="35"/>
      <c r="L13" s="35"/>
      <c r="N13" s="35"/>
      <c r="O13" s="35"/>
      <c r="P13" s="35"/>
      <c r="Q13" s="35"/>
      <c r="R13" s="35"/>
      <c r="U13" s="85"/>
    </row>
    <row r="14" spans="1:21" s="24" customFormat="1" x14ac:dyDescent="0.25">
      <c r="A14" s="35"/>
      <c r="B14" s="35"/>
      <c r="F14" s="35"/>
      <c r="H14" s="35"/>
      <c r="J14" s="35"/>
      <c r="L14" s="35"/>
      <c r="N14" s="35"/>
      <c r="O14" s="35"/>
      <c r="P14" s="35"/>
      <c r="Q14" s="35"/>
      <c r="R14" s="35"/>
      <c r="U14" s="85"/>
    </row>
    <row r="15" spans="1:21" s="24" customFormat="1" x14ac:dyDescent="0.25">
      <c r="A15" s="35"/>
      <c r="B15" s="35"/>
      <c r="F15" s="35"/>
      <c r="H15" s="35"/>
      <c r="J15" s="35"/>
      <c r="L15" s="35"/>
      <c r="N15" s="35"/>
      <c r="O15" s="35"/>
      <c r="P15" s="35"/>
      <c r="Q15" s="35"/>
      <c r="R15" s="35"/>
      <c r="U15" s="85"/>
    </row>
    <row r="16" spans="1:21" s="24" customFormat="1" x14ac:dyDescent="0.25">
      <c r="A16" s="35"/>
      <c r="B16" s="35"/>
      <c r="F16" s="35"/>
      <c r="H16" s="35"/>
      <c r="J16" s="35"/>
      <c r="L16" s="35"/>
      <c r="N16" s="35"/>
      <c r="O16" s="35"/>
      <c r="P16" s="35"/>
      <c r="Q16" s="35"/>
      <c r="R16" s="35"/>
      <c r="U16" s="85"/>
    </row>
    <row r="17" spans="1:21" s="24" customFormat="1" x14ac:dyDescent="0.25">
      <c r="A17" s="35"/>
      <c r="B17" s="35"/>
      <c r="F17" s="35"/>
      <c r="H17" s="35"/>
      <c r="J17" s="35"/>
      <c r="L17" s="35"/>
      <c r="N17" s="35"/>
      <c r="O17" s="35"/>
      <c r="P17" s="35"/>
      <c r="Q17" s="35"/>
      <c r="R17" s="35"/>
      <c r="U17" s="85"/>
    </row>
    <row r="18" spans="1:21" s="24" customFormat="1" x14ac:dyDescent="0.25">
      <c r="A18" s="35"/>
      <c r="B18" s="35"/>
      <c r="F18" s="35"/>
      <c r="H18" s="35"/>
      <c r="J18" s="35"/>
      <c r="L18" s="35"/>
      <c r="N18" s="35"/>
      <c r="O18" s="35"/>
      <c r="P18" s="35"/>
      <c r="Q18" s="35"/>
      <c r="R18" s="35"/>
      <c r="U18" s="85"/>
    </row>
    <row r="19" spans="1:21" s="24" customFormat="1" x14ac:dyDescent="0.25">
      <c r="A19" s="35"/>
      <c r="B19" s="35"/>
      <c r="F19" s="35"/>
      <c r="H19" s="35"/>
      <c r="J19" s="35"/>
      <c r="L19" s="35"/>
      <c r="N19" s="35"/>
      <c r="O19" s="35"/>
      <c r="P19" s="35"/>
      <c r="Q19" s="35"/>
      <c r="R19" s="35"/>
      <c r="U19" s="85"/>
    </row>
    <row r="20" spans="1:21" s="24" customFormat="1" x14ac:dyDescent="0.25">
      <c r="A20" s="35"/>
      <c r="B20" s="35"/>
      <c r="F20" s="35"/>
      <c r="H20" s="35"/>
      <c r="J20" s="35"/>
      <c r="L20" s="35"/>
      <c r="N20" s="35"/>
      <c r="O20" s="35"/>
      <c r="P20" s="35"/>
      <c r="Q20" s="35"/>
      <c r="R20" s="35"/>
      <c r="U20" s="85"/>
    </row>
    <row r="21" spans="1:21" s="24" customFormat="1" x14ac:dyDescent="0.25">
      <c r="A21" s="35"/>
      <c r="B21" s="35"/>
      <c r="F21" s="35"/>
      <c r="H21" s="35"/>
      <c r="J21" s="35"/>
      <c r="L21" s="35"/>
      <c r="N21" s="35"/>
      <c r="O21" s="35"/>
      <c r="P21" s="35"/>
      <c r="Q21" s="35"/>
      <c r="R21" s="35"/>
      <c r="U21" s="85"/>
    </row>
    <row r="22" spans="1:21" s="24" customFormat="1" x14ac:dyDescent="0.25">
      <c r="A22" s="35"/>
      <c r="B22" s="35"/>
      <c r="F22" s="35"/>
      <c r="H22" s="35"/>
      <c r="J22" s="35"/>
      <c r="L22" s="35"/>
      <c r="N22" s="35"/>
      <c r="O22" s="35"/>
      <c r="P22" s="35"/>
      <c r="Q22" s="35"/>
      <c r="R22" s="35"/>
      <c r="U22" s="85"/>
    </row>
    <row r="23" spans="1:21" s="24" customFormat="1" x14ac:dyDescent="0.25">
      <c r="A23" s="35"/>
      <c r="B23" s="35"/>
      <c r="F23" s="35"/>
      <c r="H23" s="35"/>
      <c r="J23" s="35"/>
      <c r="L23" s="35"/>
      <c r="N23" s="35"/>
      <c r="O23" s="35"/>
      <c r="P23" s="35"/>
      <c r="Q23" s="35"/>
      <c r="R23" s="35"/>
      <c r="U23" s="85"/>
    </row>
    <row r="24" spans="1:21" s="24" customFormat="1" x14ac:dyDescent="0.25">
      <c r="A24" s="35"/>
      <c r="B24" s="35"/>
      <c r="F24" s="35"/>
      <c r="H24" s="35"/>
      <c r="J24" s="35"/>
      <c r="L24" s="35"/>
      <c r="N24" s="35"/>
      <c r="O24" s="35"/>
      <c r="P24" s="35"/>
      <c r="Q24" s="35"/>
      <c r="R24" s="35"/>
      <c r="U24" s="85"/>
    </row>
    <row r="25" spans="1:21" s="24" customFormat="1" x14ac:dyDescent="0.25">
      <c r="A25" s="35"/>
      <c r="B25" s="35"/>
      <c r="F25" s="35"/>
      <c r="H25" s="35"/>
      <c r="J25" s="35"/>
      <c r="L25" s="35"/>
      <c r="N25" s="35"/>
      <c r="O25" s="35"/>
      <c r="P25" s="35"/>
      <c r="Q25" s="35"/>
      <c r="R25" s="35"/>
      <c r="U25" s="85"/>
    </row>
    <row r="26" spans="1:21" s="24" customFormat="1" x14ac:dyDescent="0.25">
      <c r="A26" s="35"/>
      <c r="B26" s="35"/>
      <c r="F26" s="35"/>
      <c r="H26" s="35"/>
      <c r="J26" s="35"/>
      <c r="L26" s="35"/>
      <c r="N26" s="35"/>
      <c r="O26" s="35"/>
      <c r="P26" s="35"/>
      <c r="Q26" s="35"/>
      <c r="R26" s="35"/>
      <c r="U26" s="85"/>
    </row>
    <row r="27" spans="1:21" s="24" customFormat="1" x14ac:dyDescent="0.25">
      <c r="A27" s="35"/>
      <c r="B27" s="35"/>
      <c r="F27" s="35"/>
      <c r="H27" s="35"/>
      <c r="J27" s="35"/>
      <c r="L27" s="35"/>
      <c r="N27" s="35"/>
      <c r="O27" s="35"/>
      <c r="P27" s="35"/>
      <c r="Q27" s="35"/>
      <c r="R27" s="35"/>
      <c r="U27" s="85"/>
    </row>
    <row r="28" spans="1:21" s="24" customFormat="1" x14ac:dyDescent="0.25">
      <c r="A28" s="35"/>
      <c r="B28" s="35"/>
      <c r="F28" s="35"/>
      <c r="H28" s="35"/>
      <c r="J28" s="35"/>
      <c r="L28" s="35"/>
      <c r="N28" s="35"/>
      <c r="O28" s="35"/>
      <c r="P28" s="35"/>
      <c r="Q28" s="35"/>
      <c r="R28" s="35"/>
      <c r="U28" s="85"/>
    </row>
    <row r="29" spans="1:21" s="24" customFormat="1" x14ac:dyDescent="0.25">
      <c r="A29" s="35"/>
      <c r="B29" s="35"/>
      <c r="F29" s="35"/>
      <c r="H29" s="35"/>
      <c r="J29" s="35"/>
      <c r="L29" s="35"/>
      <c r="N29" s="35"/>
      <c r="O29" s="35"/>
      <c r="P29" s="35"/>
      <c r="Q29" s="35"/>
      <c r="R29" s="35"/>
      <c r="U29" s="85"/>
    </row>
    <row r="30" spans="1:21" s="24" customFormat="1" x14ac:dyDescent="0.25">
      <c r="A30" s="35"/>
      <c r="B30" s="35"/>
      <c r="F30" s="35"/>
      <c r="H30" s="35"/>
      <c r="J30" s="35"/>
      <c r="L30" s="35"/>
      <c r="N30" s="35"/>
      <c r="O30" s="35"/>
      <c r="P30" s="35"/>
      <c r="Q30" s="35"/>
      <c r="R30" s="35"/>
      <c r="U30" s="85"/>
    </row>
    <row r="31" spans="1:21" s="24" customFormat="1" x14ac:dyDescent="0.25">
      <c r="A31" s="35"/>
      <c r="B31" s="35"/>
      <c r="F31" s="35"/>
      <c r="H31" s="35"/>
      <c r="J31" s="35"/>
      <c r="L31" s="35"/>
      <c r="N31" s="35"/>
      <c r="O31" s="35"/>
      <c r="P31" s="35"/>
      <c r="Q31" s="35"/>
      <c r="R31" s="35"/>
      <c r="U31" s="85"/>
    </row>
    <row r="32" spans="1:21" s="24" customFormat="1" x14ac:dyDescent="0.25">
      <c r="A32" s="35"/>
      <c r="B32" s="35"/>
      <c r="F32" s="35"/>
      <c r="H32" s="35"/>
      <c r="J32" s="35"/>
      <c r="L32" s="35"/>
      <c r="N32" s="35"/>
      <c r="O32" s="35"/>
      <c r="P32" s="35"/>
      <c r="Q32" s="35"/>
      <c r="R32" s="35"/>
      <c r="U32" s="85"/>
    </row>
    <row r="33" spans="1:21" s="24" customFormat="1" x14ac:dyDescent="0.25">
      <c r="A33" s="35"/>
      <c r="B33" s="35"/>
      <c r="F33" s="35"/>
      <c r="H33" s="35"/>
      <c r="J33" s="35"/>
      <c r="L33" s="35"/>
      <c r="N33" s="35"/>
      <c r="O33" s="35"/>
      <c r="P33" s="35"/>
      <c r="Q33" s="35"/>
      <c r="R33" s="35"/>
      <c r="U33" s="85"/>
    </row>
    <row r="34" spans="1:21" s="24" customFormat="1" x14ac:dyDescent="0.25">
      <c r="A34" s="35"/>
      <c r="B34" s="35"/>
      <c r="F34" s="35"/>
      <c r="H34" s="35"/>
      <c r="J34" s="35"/>
      <c r="L34" s="35"/>
      <c r="N34" s="35"/>
      <c r="O34" s="35"/>
      <c r="P34" s="35"/>
      <c r="Q34" s="35"/>
      <c r="R34" s="35"/>
      <c r="U34" s="85"/>
    </row>
    <row r="35" spans="1:21" s="24" customFormat="1" x14ac:dyDescent="0.25">
      <c r="A35" s="35"/>
      <c r="B35" s="35"/>
      <c r="F35" s="35"/>
      <c r="H35" s="35"/>
      <c r="J35" s="35"/>
      <c r="L35" s="35"/>
      <c r="N35" s="35"/>
      <c r="O35" s="35"/>
      <c r="P35" s="35"/>
      <c r="Q35" s="35"/>
      <c r="R35" s="35"/>
      <c r="U35" s="85"/>
    </row>
    <row r="36" spans="1:21" s="24" customFormat="1" x14ac:dyDescent="0.25">
      <c r="A36" s="35"/>
      <c r="B36" s="35"/>
      <c r="F36" s="35"/>
      <c r="H36" s="35"/>
      <c r="J36" s="35"/>
      <c r="L36" s="35"/>
      <c r="N36" s="35"/>
      <c r="O36" s="35"/>
      <c r="P36" s="35"/>
      <c r="Q36" s="35"/>
      <c r="R36" s="35"/>
      <c r="U36" s="85"/>
    </row>
    <row r="37" spans="1:21" s="24" customFormat="1" x14ac:dyDescent="0.25">
      <c r="A37" s="35"/>
      <c r="B37" s="35"/>
      <c r="F37" s="35"/>
      <c r="H37" s="35"/>
      <c r="J37" s="35"/>
      <c r="L37" s="35"/>
      <c r="N37" s="35"/>
      <c r="O37" s="35"/>
      <c r="P37" s="35"/>
      <c r="Q37" s="35"/>
      <c r="R37" s="35"/>
      <c r="U37" s="85"/>
    </row>
    <row r="38" spans="1:21" s="24" customFormat="1" x14ac:dyDescent="0.25">
      <c r="A38" s="35"/>
      <c r="B38" s="35"/>
      <c r="F38" s="35"/>
      <c r="H38" s="35"/>
      <c r="J38" s="35"/>
      <c r="L38" s="35"/>
      <c r="N38" s="35"/>
      <c r="O38" s="35"/>
      <c r="P38" s="35"/>
      <c r="Q38" s="35"/>
      <c r="R38" s="35"/>
      <c r="U38" s="85"/>
    </row>
    <row r="39" spans="1:21" s="24" customFormat="1" ht="21" customHeight="1" x14ac:dyDescent="0.25">
      <c r="A39" s="168" t="s">
        <v>68</v>
      </c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</row>
    <row r="40" spans="1:21" s="86" customFormat="1" ht="21" customHeight="1" x14ac:dyDescent="0.25">
      <c r="A40" s="168" t="s">
        <v>222</v>
      </c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</row>
    <row r="41" spans="1:21" s="24" customFormat="1" ht="14.4" x14ac:dyDescent="0.3">
      <c r="A41" s="11"/>
      <c r="B41" s="11"/>
      <c r="C41" s="13"/>
      <c r="D41" s="14"/>
      <c r="E41" s="14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6"/>
      <c r="Q41" s="11"/>
      <c r="R41" s="11"/>
      <c r="S41" s="11"/>
      <c r="U41" s="18" t="s">
        <v>24</v>
      </c>
    </row>
    <row r="42" spans="1:21" s="24" customFormat="1" ht="15.75" customHeight="1" x14ac:dyDescent="0.25">
      <c r="A42" s="19" t="s">
        <v>0</v>
      </c>
      <c r="B42" s="19" t="s">
        <v>25</v>
      </c>
      <c r="C42" s="20" t="s">
        <v>26</v>
      </c>
      <c r="D42" s="20" t="s">
        <v>27</v>
      </c>
      <c r="E42" s="21" t="s">
        <v>28</v>
      </c>
      <c r="F42" s="19" t="s">
        <v>28</v>
      </c>
      <c r="G42" s="22"/>
      <c r="H42" s="19" t="s">
        <v>31</v>
      </c>
      <c r="I42" s="22"/>
      <c r="J42" s="19" t="s">
        <v>32</v>
      </c>
      <c r="K42" s="22"/>
      <c r="L42" s="19" t="s">
        <v>33</v>
      </c>
      <c r="M42" s="22"/>
      <c r="N42" s="19" t="s">
        <v>33</v>
      </c>
      <c r="O42" s="19" t="s">
        <v>34</v>
      </c>
      <c r="P42" s="19" t="s">
        <v>19</v>
      </c>
      <c r="Q42" s="23" t="s">
        <v>35</v>
      </c>
      <c r="R42" s="19" t="s">
        <v>36</v>
      </c>
      <c r="S42" s="19" t="s">
        <v>37</v>
      </c>
      <c r="T42" s="19" t="s">
        <v>51</v>
      </c>
      <c r="U42" s="20" t="s">
        <v>55</v>
      </c>
    </row>
    <row r="43" spans="1:21" s="24" customFormat="1" ht="15.75" customHeight="1" x14ac:dyDescent="0.25">
      <c r="A43" s="25"/>
      <c r="B43" s="25"/>
      <c r="C43" s="26"/>
      <c r="D43" s="27" t="s">
        <v>2</v>
      </c>
      <c r="E43" s="28" t="s">
        <v>29</v>
      </c>
      <c r="F43" s="25" t="s">
        <v>30</v>
      </c>
      <c r="G43" s="26"/>
      <c r="H43" s="25" t="s">
        <v>20</v>
      </c>
      <c r="I43" s="26"/>
      <c r="J43" s="25" t="s">
        <v>38</v>
      </c>
      <c r="K43" s="26"/>
      <c r="L43" s="25" t="s">
        <v>39</v>
      </c>
      <c r="M43" s="26"/>
      <c r="N43" s="25" t="s">
        <v>40</v>
      </c>
      <c r="O43" s="25" t="s">
        <v>41</v>
      </c>
      <c r="P43" s="25"/>
      <c r="Q43" s="29"/>
      <c r="R43" s="25" t="s">
        <v>42</v>
      </c>
      <c r="S43" s="25"/>
      <c r="T43" s="25" t="s">
        <v>43</v>
      </c>
      <c r="U43" s="27" t="s">
        <v>44</v>
      </c>
    </row>
    <row r="44" spans="1:21" s="37" customFormat="1" ht="18" customHeight="1" x14ac:dyDescent="0.25">
      <c r="A44" s="30">
        <v>1</v>
      </c>
      <c r="B44" s="31"/>
      <c r="C44" s="32"/>
      <c r="D44" s="88"/>
      <c r="E44" s="33">
        <v>45609</v>
      </c>
      <c r="F44" s="30">
        <v>15</v>
      </c>
      <c r="G44" s="40">
        <v>5655000</v>
      </c>
      <c r="H44" s="40">
        <f>ROUND(G44*F44/$C$3,0)</f>
        <v>2736290</v>
      </c>
      <c r="I44" s="40">
        <v>6438000</v>
      </c>
      <c r="J44" s="40">
        <f>ROUND(I44*F44/$C$3,0)</f>
        <v>3115161</v>
      </c>
      <c r="K44" s="40">
        <v>3480000</v>
      </c>
      <c r="L44" s="40">
        <f>ROUND(K44*F44/$C$3,0)</f>
        <v>1683871</v>
      </c>
      <c r="M44" s="40">
        <f>2427000+3700000</f>
        <v>6127000</v>
      </c>
      <c r="N44" s="40">
        <f>ROUND(M44*F44/$C$3,0)</f>
        <v>2964677</v>
      </c>
      <c r="O44" s="30">
        <f t="shared" ref="O44" si="1">H44+J44+L44+N44</f>
        <v>10499999</v>
      </c>
      <c r="P44" s="30"/>
      <c r="Q44" s="34"/>
      <c r="R44" s="67"/>
      <c r="S44" s="30"/>
      <c r="T44" s="30">
        <f t="shared" ref="T44" si="2">ROUND(O44-P44-Q44-R44-S44,0)</f>
        <v>10499999</v>
      </c>
      <c r="U44" s="89"/>
    </row>
    <row r="45" spans="1:21" s="94" customFormat="1" ht="21.6" customHeight="1" x14ac:dyDescent="0.25">
      <c r="A45" s="90"/>
      <c r="B45" s="91"/>
      <c r="C45" s="79" t="s">
        <v>21</v>
      </c>
      <c r="D45" s="92"/>
      <c r="E45" s="92"/>
      <c r="F45" s="70">
        <f>SUM(F44:F44)</f>
        <v>15</v>
      </c>
      <c r="G45" s="42"/>
      <c r="H45" s="42">
        <f>SUM(H44:H44)</f>
        <v>2736290</v>
      </c>
      <c r="I45" s="42"/>
      <c r="J45" s="42">
        <f>SUM(J44:J44)</f>
        <v>3115161</v>
      </c>
      <c r="K45" s="42"/>
      <c r="L45" s="42">
        <f>SUM(L44:L44)</f>
        <v>1683871</v>
      </c>
      <c r="M45" s="42"/>
      <c r="N45" s="42">
        <f t="shared" ref="N45:T45" si="3">SUM(N44:N44)</f>
        <v>2964677</v>
      </c>
      <c r="O45" s="42">
        <f t="shared" si="3"/>
        <v>10499999</v>
      </c>
      <c r="P45" s="42">
        <f t="shared" si="3"/>
        <v>0</v>
      </c>
      <c r="Q45" s="42">
        <f t="shared" si="3"/>
        <v>0</v>
      </c>
      <c r="R45" s="42">
        <f t="shared" si="3"/>
        <v>0</v>
      </c>
      <c r="S45" s="42">
        <f t="shared" si="3"/>
        <v>0</v>
      </c>
      <c r="T45" s="42">
        <f t="shared" si="3"/>
        <v>10499999</v>
      </c>
      <c r="U45" s="93"/>
    </row>
    <row r="46" spans="1:21" s="24" customFormat="1" x14ac:dyDescent="0.25">
      <c r="A46" s="35"/>
      <c r="B46" s="35"/>
      <c r="F46" s="35"/>
      <c r="H46" s="35"/>
      <c r="J46" s="35"/>
      <c r="L46" s="35"/>
      <c r="N46" s="35"/>
      <c r="O46" s="35"/>
      <c r="P46" s="35"/>
      <c r="Q46" s="35"/>
      <c r="R46" s="35"/>
      <c r="U46" s="85"/>
    </row>
    <row r="47" spans="1:21" s="59" customFormat="1" ht="15" customHeight="1" x14ac:dyDescent="0.25">
      <c r="A47" s="58"/>
      <c r="B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S47" s="61"/>
      <c r="U47" s="62" t="s">
        <v>80</v>
      </c>
    </row>
    <row r="48" spans="1:21" s="63" customFormat="1" ht="18" customHeight="1" x14ac:dyDescent="0.35">
      <c r="B48" s="63" t="s">
        <v>45</v>
      </c>
      <c r="E48" s="63" t="s">
        <v>56</v>
      </c>
      <c r="O48" s="63" t="s">
        <v>47</v>
      </c>
      <c r="S48" s="63" t="s">
        <v>48</v>
      </c>
    </row>
    <row r="49" spans="1:21" s="24" customFormat="1" x14ac:dyDescent="0.25">
      <c r="A49" s="35"/>
      <c r="B49" s="35"/>
      <c r="F49" s="35"/>
      <c r="H49" s="35"/>
      <c r="J49" s="35"/>
      <c r="L49" s="35"/>
      <c r="N49" s="35"/>
      <c r="O49" s="35"/>
      <c r="P49" s="35"/>
      <c r="Q49" s="35"/>
      <c r="R49" s="35"/>
      <c r="U49" s="85"/>
    </row>
    <row r="50" spans="1:21" s="24" customFormat="1" x14ac:dyDescent="0.25">
      <c r="A50" s="35"/>
      <c r="B50" s="35"/>
      <c r="F50" s="35"/>
      <c r="H50" s="35"/>
      <c r="J50" s="35"/>
      <c r="L50" s="35"/>
      <c r="N50" s="35"/>
      <c r="O50" s="35"/>
      <c r="P50" s="35"/>
      <c r="Q50" s="35"/>
      <c r="R50" s="35"/>
      <c r="U50" s="85"/>
    </row>
    <row r="51" spans="1:21" s="24" customFormat="1" x14ac:dyDescent="0.25">
      <c r="A51" s="35"/>
      <c r="B51" s="35"/>
      <c r="F51" s="35"/>
      <c r="H51" s="35"/>
      <c r="J51" s="35"/>
      <c r="L51" s="35"/>
      <c r="N51" s="35"/>
      <c r="O51" s="35"/>
      <c r="P51" s="35"/>
      <c r="Q51" s="35"/>
      <c r="R51" s="35"/>
      <c r="U51" s="85"/>
    </row>
    <row r="52" spans="1:21" s="24" customFormat="1" x14ac:dyDescent="0.25">
      <c r="A52" s="35"/>
      <c r="B52" s="35"/>
      <c r="F52" s="35"/>
      <c r="H52" s="35"/>
      <c r="J52" s="35"/>
      <c r="L52" s="35"/>
      <c r="N52" s="35"/>
      <c r="O52" s="35"/>
      <c r="P52" s="35"/>
      <c r="Q52" s="35"/>
      <c r="R52" s="35"/>
      <c r="U52" s="85"/>
    </row>
    <row r="53" spans="1:21" s="24" customFormat="1" x14ac:dyDescent="0.25">
      <c r="A53" s="35"/>
      <c r="B53" s="35"/>
      <c r="F53" s="35"/>
      <c r="H53" s="35"/>
      <c r="J53" s="35"/>
      <c r="L53" s="35"/>
      <c r="N53" s="35"/>
      <c r="O53" s="35"/>
      <c r="P53" s="35"/>
      <c r="Q53" s="35"/>
      <c r="R53" s="35"/>
      <c r="U53" s="85"/>
    </row>
    <row r="54" spans="1:21" s="24" customFormat="1" x14ac:dyDescent="0.25">
      <c r="A54" s="35"/>
      <c r="B54" s="35"/>
      <c r="F54" s="35"/>
      <c r="H54" s="35"/>
      <c r="J54" s="35"/>
      <c r="L54" s="35"/>
      <c r="N54" s="35"/>
      <c r="O54" s="35"/>
      <c r="P54" s="35"/>
      <c r="Q54" s="35"/>
      <c r="R54" s="35"/>
      <c r="U54" s="85"/>
    </row>
    <row r="55" spans="1:21" s="24" customFormat="1" x14ac:dyDescent="0.25">
      <c r="A55" s="35"/>
      <c r="B55" s="35"/>
      <c r="F55" s="35"/>
      <c r="H55" s="35"/>
      <c r="J55" s="35"/>
      <c r="L55" s="35"/>
      <c r="N55" s="35"/>
      <c r="O55" s="35"/>
      <c r="P55" s="35"/>
      <c r="Q55" s="35"/>
      <c r="R55" s="35"/>
      <c r="U55" s="85"/>
    </row>
    <row r="56" spans="1:21" s="24" customFormat="1" x14ac:dyDescent="0.25">
      <c r="A56" s="35"/>
      <c r="B56" s="35"/>
      <c r="F56" s="35"/>
      <c r="H56" s="35"/>
      <c r="J56" s="35"/>
      <c r="L56" s="35"/>
      <c r="N56" s="35"/>
      <c r="O56" s="35"/>
      <c r="P56" s="35"/>
      <c r="Q56" s="35"/>
      <c r="R56" s="35"/>
      <c r="U56" s="85"/>
    </row>
    <row r="57" spans="1:21" s="24" customFormat="1" x14ac:dyDescent="0.25">
      <c r="A57" s="35"/>
      <c r="B57" s="35"/>
      <c r="F57" s="35"/>
      <c r="H57" s="35"/>
      <c r="J57" s="35"/>
      <c r="L57" s="35"/>
      <c r="N57" s="35"/>
      <c r="O57" s="35"/>
      <c r="P57" s="35"/>
      <c r="Q57" s="35"/>
      <c r="R57" s="35"/>
      <c r="U57" s="85"/>
    </row>
    <row r="58" spans="1:21" s="24" customFormat="1" x14ac:dyDescent="0.25">
      <c r="A58" s="35"/>
      <c r="B58" s="35"/>
      <c r="F58" s="35"/>
      <c r="H58" s="35"/>
      <c r="J58" s="35"/>
      <c r="L58" s="35"/>
      <c r="N58" s="35"/>
      <c r="O58" s="35"/>
      <c r="P58" s="35"/>
      <c r="Q58" s="35"/>
      <c r="R58" s="35"/>
      <c r="U58" s="85"/>
    </row>
    <row r="59" spans="1:21" s="24" customFormat="1" x14ac:dyDescent="0.25">
      <c r="A59" s="35"/>
      <c r="B59" s="35"/>
      <c r="F59" s="35"/>
      <c r="H59" s="35"/>
      <c r="J59" s="35"/>
      <c r="L59" s="35"/>
      <c r="N59" s="35"/>
      <c r="O59" s="35"/>
      <c r="P59" s="35"/>
      <c r="Q59" s="35"/>
      <c r="R59" s="35"/>
      <c r="U59" s="85"/>
    </row>
    <row r="60" spans="1:21" s="24" customFormat="1" x14ac:dyDescent="0.25">
      <c r="A60" s="35"/>
      <c r="B60" s="35"/>
      <c r="F60" s="35"/>
      <c r="H60" s="35"/>
      <c r="J60" s="35"/>
      <c r="L60" s="35"/>
      <c r="N60" s="35"/>
      <c r="O60" s="35"/>
      <c r="P60" s="35"/>
      <c r="Q60" s="35"/>
      <c r="R60" s="35"/>
      <c r="U60" s="85"/>
    </row>
    <row r="61" spans="1:21" s="24" customFormat="1" x14ac:dyDescent="0.25">
      <c r="A61" s="35"/>
      <c r="B61" s="35"/>
      <c r="F61" s="35"/>
      <c r="H61" s="35"/>
      <c r="J61" s="35"/>
      <c r="L61" s="35"/>
      <c r="N61" s="35"/>
      <c r="O61" s="35"/>
      <c r="P61" s="35"/>
      <c r="Q61" s="35"/>
      <c r="R61" s="35"/>
      <c r="U61" s="85"/>
    </row>
    <row r="62" spans="1:21" s="24" customFormat="1" x14ac:dyDescent="0.25">
      <c r="A62" s="35"/>
      <c r="B62" s="35"/>
      <c r="F62" s="35"/>
      <c r="H62" s="35"/>
      <c r="J62" s="35"/>
      <c r="L62" s="35"/>
      <c r="N62" s="35"/>
      <c r="O62" s="35"/>
      <c r="P62" s="35"/>
      <c r="Q62" s="35"/>
      <c r="R62" s="35"/>
      <c r="U62" s="85"/>
    </row>
    <row r="63" spans="1:21" s="24" customFormat="1" x14ac:dyDescent="0.25">
      <c r="A63" s="35"/>
      <c r="B63" s="35"/>
      <c r="F63" s="35"/>
      <c r="H63" s="35"/>
      <c r="J63" s="35"/>
      <c r="L63" s="35"/>
      <c r="N63" s="35"/>
      <c r="O63" s="35"/>
      <c r="P63" s="35"/>
      <c r="Q63" s="35"/>
      <c r="R63" s="35"/>
      <c r="U63" s="85"/>
    </row>
    <row r="64" spans="1:21" s="24" customFormat="1" x14ac:dyDescent="0.25">
      <c r="A64" s="35"/>
      <c r="B64" s="35"/>
      <c r="F64" s="35"/>
      <c r="H64" s="35"/>
      <c r="J64" s="35"/>
      <c r="L64" s="35"/>
      <c r="N64" s="35"/>
      <c r="O64" s="35"/>
      <c r="P64" s="35"/>
      <c r="Q64" s="35"/>
      <c r="R64" s="35"/>
      <c r="U64" s="85"/>
    </row>
    <row r="65" spans="1:21" s="24" customFormat="1" x14ac:dyDescent="0.25">
      <c r="A65" s="35"/>
      <c r="B65" s="35"/>
      <c r="F65" s="35"/>
      <c r="H65" s="35"/>
      <c r="J65" s="35"/>
      <c r="L65" s="35"/>
      <c r="N65" s="35"/>
      <c r="O65" s="35"/>
      <c r="P65" s="35"/>
      <c r="Q65" s="35"/>
      <c r="R65" s="35"/>
      <c r="U65" s="85"/>
    </row>
    <row r="66" spans="1:21" s="24" customFormat="1" x14ac:dyDescent="0.25">
      <c r="A66" s="35"/>
      <c r="B66" s="35"/>
      <c r="F66" s="35"/>
      <c r="H66" s="35"/>
      <c r="J66" s="35"/>
      <c r="L66" s="35"/>
      <c r="N66" s="35"/>
      <c r="O66" s="35"/>
      <c r="P66" s="35"/>
      <c r="Q66" s="35"/>
      <c r="R66" s="35"/>
      <c r="U66" s="85"/>
    </row>
    <row r="67" spans="1:21" s="24" customFormat="1" x14ac:dyDescent="0.25">
      <c r="A67" s="35"/>
      <c r="B67" s="35"/>
      <c r="F67" s="35"/>
      <c r="H67" s="35"/>
      <c r="J67" s="35"/>
      <c r="L67" s="35"/>
      <c r="N67" s="35"/>
      <c r="O67" s="35"/>
      <c r="P67" s="35"/>
      <c r="Q67" s="35"/>
      <c r="R67" s="35"/>
      <c r="U67" s="85"/>
    </row>
    <row r="68" spans="1:21" s="24" customFormat="1" x14ac:dyDescent="0.25">
      <c r="A68" s="35"/>
      <c r="B68" s="35"/>
      <c r="F68" s="35"/>
      <c r="H68" s="35"/>
      <c r="J68" s="35"/>
      <c r="L68" s="35"/>
      <c r="N68" s="35"/>
      <c r="O68" s="35"/>
      <c r="P68" s="35"/>
      <c r="Q68" s="35"/>
      <c r="R68" s="35"/>
      <c r="U68" s="85"/>
    </row>
    <row r="69" spans="1:21" s="24" customFormat="1" x14ac:dyDescent="0.25">
      <c r="A69" s="35"/>
      <c r="B69" s="35"/>
      <c r="F69" s="35"/>
      <c r="H69" s="35"/>
      <c r="J69" s="35"/>
      <c r="L69" s="35"/>
      <c r="N69" s="35"/>
      <c r="O69" s="35"/>
      <c r="P69" s="35"/>
      <c r="Q69" s="35"/>
      <c r="R69" s="35"/>
      <c r="U69" s="85"/>
    </row>
    <row r="70" spans="1:21" s="24" customFormat="1" x14ac:dyDescent="0.25">
      <c r="A70" s="35"/>
      <c r="B70" s="35"/>
      <c r="F70" s="35"/>
      <c r="H70" s="35"/>
      <c r="J70" s="35"/>
      <c r="L70" s="35"/>
      <c r="N70" s="35"/>
      <c r="O70" s="35"/>
      <c r="P70" s="35"/>
      <c r="Q70" s="35"/>
      <c r="R70" s="35"/>
      <c r="U70" s="85"/>
    </row>
    <row r="71" spans="1:21" s="24" customFormat="1" x14ac:dyDescent="0.25">
      <c r="A71" s="35"/>
      <c r="B71" s="35"/>
      <c r="F71" s="35"/>
      <c r="H71" s="35"/>
      <c r="J71" s="35"/>
      <c r="L71" s="35"/>
      <c r="N71" s="35"/>
      <c r="O71" s="35"/>
      <c r="P71" s="35"/>
      <c r="Q71" s="35"/>
      <c r="R71" s="35"/>
      <c r="U71" s="85"/>
    </row>
    <row r="72" spans="1:21" s="24" customFormat="1" x14ac:dyDescent="0.25">
      <c r="A72" s="35"/>
      <c r="B72" s="35"/>
      <c r="F72" s="35"/>
      <c r="H72" s="35"/>
      <c r="J72" s="35"/>
      <c r="L72" s="35"/>
      <c r="N72" s="35"/>
      <c r="O72" s="35"/>
      <c r="P72" s="35"/>
      <c r="Q72" s="35"/>
      <c r="R72" s="35"/>
      <c r="U72" s="85"/>
    </row>
    <row r="73" spans="1:21" s="24" customFormat="1" x14ac:dyDescent="0.25">
      <c r="A73" s="35"/>
      <c r="B73" s="35"/>
      <c r="F73" s="35"/>
      <c r="H73" s="35"/>
      <c r="J73" s="35"/>
      <c r="L73" s="35"/>
      <c r="N73" s="35"/>
      <c r="O73" s="35"/>
      <c r="P73" s="35"/>
      <c r="Q73" s="35"/>
      <c r="R73" s="35"/>
      <c r="U73" s="85"/>
    </row>
    <row r="74" spans="1:21" s="24" customFormat="1" x14ac:dyDescent="0.25">
      <c r="A74" s="35"/>
      <c r="B74" s="35"/>
      <c r="F74" s="35"/>
      <c r="H74" s="35"/>
      <c r="J74" s="35"/>
      <c r="L74" s="35"/>
      <c r="N74" s="35"/>
      <c r="O74" s="35"/>
      <c r="P74" s="35"/>
      <c r="Q74" s="35"/>
      <c r="R74" s="35"/>
      <c r="U74" s="85"/>
    </row>
    <row r="75" spans="1:21" s="24" customFormat="1" x14ac:dyDescent="0.25">
      <c r="A75" s="35"/>
      <c r="B75" s="35"/>
      <c r="F75" s="35"/>
      <c r="H75" s="35"/>
      <c r="J75" s="35"/>
      <c r="L75" s="35"/>
      <c r="N75" s="35"/>
      <c r="O75" s="35"/>
      <c r="P75" s="35"/>
      <c r="Q75" s="35"/>
      <c r="R75" s="35"/>
      <c r="U75" s="85"/>
    </row>
    <row r="76" spans="1:21" s="24" customFormat="1" x14ac:dyDescent="0.25">
      <c r="A76" s="35"/>
      <c r="B76" s="35"/>
      <c r="F76" s="35"/>
      <c r="H76" s="35"/>
      <c r="J76" s="35"/>
      <c r="L76" s="35"/>
      <c r="N76" s="35"/>
      <c r="O76" s="35"/>
      <c r="P76" s="35"/>
      <c r="Q76" s="35"/>
      <c r="R76" s="35"/>
      <c r="U76" s="85"/>
    </row>
    <row r="77" spans="1:21" s="24" customFormat="1" ht="21" customHeight="1" x14ac:dyDescent="0.25">
      <c r="A77" s="168" t="s">
        <v>57</v>
      </c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</row>
    <row r="78" spans="1:21" s="86" customFormat="1" ht="21" customHeight="1" x14ac:dyDescent="0.25">
      <c r="A78" s="168" t="s">
        <v>222</v>
      </c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</row>
    <row r="79" spans="1:21" s="24" customFormat="1" ht="14.4" x14ac:dyDescent="0.3">
      <c r="A79" s="11"/>
      <c r="B79" s="11"/>
      <c r="C79" s="13"/>
      <c r="D79" s="14"/>
      <c r="E79" s="14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6"/>
      <c r="Q79" s="11"/>
      <c r="R79" s="11"/>
      <c r="S79" s="11"/>
      <c r="U79" s="18" t="s">
        <v>24</v>
      </c>
    </row>
    <row r="80" spans="1:21" s="24" customFormat="1" ht="15.75" customHeight="1" x14ac:dyDescent="0.25">
      <c r="A80" s="19" t="s">
        <v>0</v>
      </c>
      <c r="B80" s="19" t="s">
        <v>25</v>
      </c>
      <c r="C80" s="20" t="s">
        <v>26</v>
      </c>
      <c r="D80" s="20" t="s">
        <v>27</v>
      </c>
      <c r="E80" s="21" t="s">
        <v>28</v>
      </c>
      <c r="F80" s="19" t="s">
        <v>28</v>
      </c>
      <c r="G80" s="22"/>
      <c r="H80" s="19" t="s">
        <v>31</v>
      </c>
      <c r="I80" s="22"/>
      <c r="J80" s="19" t="s">
        <v>32</v>
      </c>
      <c r="K80" s="22"/>
      <c r="L80" s="19" t="s">
        <v>33</v>
      </c>
      <c r="M80" s="22"/>
      <c r="N80" s="19" t="s">
        <v>33</v>
      </c>
      <c r="O80" s="19" t="s">
        <v>34</v>
      </c>
      <c r="P80" s="19" t="s">
        <v>19</v>
      </c>
      <c r="Q80" s="23" t="s">
        <v>35</v>
      </c>
      <c r="R80" s="19" t="s">
        <v>36</v>
      </c>
      <c r="S80" s="19" t="s">
        <v>37</v>
      </c>
      <c r="T80" s="19" t="s">
        <v>51</v>
      </c>
      <c r="U80" s="20" t="s">
        <v>55</v>
      </c>
    </row>
    <row r="81" spans="1:21" s="24" customFormat="1" ht="15.75" customHeight="1" x14ac:dyDescent="0.25">
      <c r="A81" s="25"/>
      <c r="B81" s="25"/>
      <c r="C81" s="26"/>
      <c r="D81" s="27" t="s">
        <v>2</v>
      </c>
      <c r="E81" s="28" t="s">
        <v>29</v>
      </c>
      <c r="F81" s="25" t="s">
        <v>30</v>
      </c>
      <c r="G81" s="26"/>
      <c r="H81" s="25" t="s">
        <v>20</v>
      </c>
      <c r="I81" s="26"/>
      <c r="J81" s="25" t="s">
        <v>38</v>
      </c>
      <c r="K81" s="26"/>
      <c r="L81" s="25" t="s">
        <v>39</v>
      </c>
      <c r="M81" s="26"/>
      <c r="N81" s="25" t="s">
        <v>40</v>
      </c>
      <c r="O81" s="25" t="s">
        <v>41</v>
      </c>
      <c r="P81" s="25"/>
      <c r="Q81" s="29"/>
      <c r="R81" s="25" t="s">
        <v>42</v>
      </c>
      <c r="S81" s="25"/>
      <c r="T81" s="25" t="s">
        <v>43</v>
      </c>
      <c r="U81" s="27" t="s">
        <v>44</v>
      </c>
    </row>
    <row r="82" spans="1:21" s="37" customFormat="1" ht="18" customHeight="1" x14ac:dyDescent="0.25">
      <c r="A82" s="30">
        <v>1</v>
      </c>
      <c r="B82" s="31"/>
      <c r="C82" s="32"/>
      <c r="D82" s="88" t="s">
        <v>69</v>
      </c>
      <c r="E82" s="33">
        <v>45705</v>
      </c>
      <c r="F82" s="30">
        <v>9</v>
      </c>
      <c r="G82" s="40">
        <v>22620000</v>
      </c>
      <c r="H82" s="30">
        <f>ROUND(G82*F82/$C$3*30%,0)</f>
        <v>1970129</v>
      </c>
      <c r="I82" s="30">
        <v>25752000</v>
      </c>
      <c r="J82" s="30">
        <f>ROUND(I82*F82/$C$3*30%,0)</f>
        <v>2242916</v>
      </c>
      <c r="K82" s="30">
        <v>13920000</v>
      </c>
      <c r="L82" s="30">
        <f>ROUND(K82*F82/$C$3*30%,0)</f>
        <v>1212387</v>
      </c>
      <c r="M82" s="30">
        <f>12000000+4318000</f>
        <v>16318000</v>
      </c>
      <c r="N82" s="30">
        <f>ROUND(M82*F82/$C$3*30%,0)</f>
        <v>1421245</v>
      </c>
      <c r="O82" s="30">
        <f t="shared" ref="O82" si="4">H82+J82+L82+N82</f>
        <v>6846677</v>
      </c>
      <c r="P82" s="30"/>
      <c r="Q82" s="34"/>
      <c r="R82" s="67"/>
      <c r="S82" s="34"/>
      <c r="T82" s="30">
        <f t="shared" ref="T82" si="5">ROUND(O82-P82-Q82-R82-S82,0)</f>
        <v>6846677</v>
      </c>
      <c r="U82" s="96"/>
    </row>
    <row r="83" spans="1:21" s="37" customFormat="1" ht="18" customHeight="1" x14ac:dyDescent="0.25">
      <c r="A83" s="30">
        <v>2</v>
      </c>
      <c r="B83" s="31"/>
      <c r="C83" s="32"/>
      <c r="D83" s="88" t="s">
        <v>82</v>
      </c>
      <c r="E83" s="33">
        <v>45705</v>
      </c>
      <c r="F83" s="30">
        <v>9</v>
      </c>
      <c r="G83" s="40">
        <v>10725000</v>
      </c>
      <c r="H83" s="30">
        <f>ROUND(G83*F83/$C$3*30%,0)</f>
        <v>934113</v>
      </c>
      <c r="I83" s="30">
        <v>12210000</v>
      </c>
      <c r="J83" s="30">
        <f>ROUND(I83*F83/$C$3*30%,0)</f>
        <v>1063452</v>
      </c>
      <c r="K83" s="30">
        <v>6600000</v>
      </c>
      <c r="L83" s="30">
        <f>ROUND(K83*F83/$C$3*30%,0)</f>
        <v>574839</v>
      </c>
      <c r="M83" s="30">
        <v>6035000</v>
      </c>
      <c r="N83" s="30">
        <f>ROUND(M83*F83/$C$3*30%,0)</f>
        <v>525629</v>
      </c>
      <c r="O83" s="30">
        <f t="shared" ref="O83" si="6">H83+J83+L83+N83</f>
        <v>3098033</v>
      </c>
      <c r="P83" s="30"/>
      <c r="Q83" s="34"/>
      <c r="R83" s="67"/>
      <c r="S83" s="34"/>
      <c r="T83" s="30">
        <f t="shared" ref="T83" si="7">ROUND(O83-P83-Q83-R83-S83,0)</f>
        <v>3098033</v>
      </c>
      <c r="U83" s="96"/>
    </row>
    <row r="84" spans="1:21" s="94" customFormat="1" ht="21.6" customHeight="1" x14ac:dyDescent="0.25">
      <c r="A84" s="90"/>
      <c r="B84" s="91"/>
      <c r="C84" s="79" t="s">
        <v>21</v>
      </c>
      <c r="D84" s="92"/>
      <c r="E84" s="92"/>
      <c r="F84" s="95">
        <f>SUM(F82:F83)</f>
        <v>18</v>
      </c>
      <c r="G84" s="42"/>
      <c r="H84" s="42">
        <f>SUM(H82:H83)</f>
        <v>2904242</v>
      </c>
      <c r="I84" s="42"/>
      <c r="J84" s="42">
        <f>SUM(J82:J83)</f>
        <v>3306368</v>
      </c>
      <c r="K84" s="42"/>
      <c r="L84" s="42">
        <f>SUM(L82:L83)</f>
        <v>1787226</v>
      </c>
      <c r="M84" s="42"/>
      <c r="N84" s="42">
        <f>SUM(N83)</f>
        <v>525629</v>
      </c>
      <c r="O84" s="42">
        <f t="shared" ref="O84:T84" si="8">SUM(O82:O83)</f>
        <v>9944710</v>
      </c>
      <c r="P84" s="42">
        <f t="shared" si="8"/>
        <v>0</v>
      </c>
      <c r="Q84" s="42">
        <f t="shared" si="8"/>
        <v>0</v>
      </c>
      <c r="R84" s="42">
        <f t="shared" si="8"/>
        <v>0</v>
      </c>
      <c r="S84" s="42">
        <f t="shared" si="8"/>
        <v>0</v>
      </c>
      <c r="T84" s="42">
        <f t="shared" si="8"/>
        <v>9944710</v>
      </c>
      <c r="U84" s="93"/>
    </row>
    <row r="85" spans="1:21" s="24" customFormat="1" x14ac:dyDescent="0.25">
      <c r="A85" s="35"/>
      <c r="B85" s="35"/>
      <c r="F85" s="35"/>
      <c r="H85" s="35"/>
      <c r="J85" s="35"/>
      <c r="L85" s="35"/>
      <c r="N85" s="35"/>
      <c r="O85" s="35"/>
      <c r="P85" s="35"/>
      <c r="Q85" s="35"/>
      <c r="R85" s="35"/>
      <c r="U85" s="85"/>
    </row>
    <row r="86" spans="1:21" s="59" customFormat="1" ht="15" customHeight="1" x14ac:dyDescent="0.25">
      <c r="A86" s="58"/>
      <c r="B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S86" s="61"/>
      <c r="U86" s="62" t="s">
        <v>80</v>
      </c>
    </row>
    <row r="87" spans="1:21" s="63" customFormat="1" ht="18" customHeight="1" x14ac:dyDescent="0.35">
      <c r="B87" s="63" t="s">
        <v>45</v>
      </c>
      <c r="E87" s="63" t="s">
        <v>56</v>
      </c>
      <c r="O87" s="63" t="s">
        <v>47</v>
      </c>
      <c r="S87" s="63" t="s">
        <v>48</v>
      </c>
    </row>
    <row r="88" spans="1:21" s="24" customFormat="1" x14ac:dyDescent="0.25">
      <c r="A88" s="35"/>
      <c r="B88" s="35"/>
      <c r="F88" s="35"/>
      <c r="H88" s="35"/>
      <c r="J88" s="35"/>
      <c r="L88" s="35"/>
      <c r="N88" s="35"/>
      <c r="O88" s="35"/>
      <c r="P88" s="35"/>
      <c r="Q88" s="35"/>
      <c r="R88" s="35"/>
      <c r="U88" s="85"/>
    </row>
    <row r="89" spans="1:21" s="24" customFormat="1" x14ac:dyDescent="0.25">
      <c r="A89" s="35"/>
      <c r="B89" s="35"/>
      <c r="F89" s="35"/>
      <c r="H89" s="35"/>
      <c r="J89" s="35"/>
      <c r="L89" s="35"/>
      <c r="N89" s="35"/>
      <c r="O89" s="35"/>
      <c r="P89" s="35"/>
      <c r="Q89" s="35"/>
      <c r="R89" s="35"/>
      <c r="U89" s="85"/>
    </row>
    <row r="90" spans="1:21" s="24" customFormat="1" x14ac:dyDescent="0.25">
      <c r="A90" s="35"/>
      <c r="B90" s="35"/>
      <c r="F90" s="35"/>
      <c r="H90" s="35"/>
      <c r="J90" s="35"/>
      <c r="L90" s="35"/>
      <c r="N90" s="35"/>
      <c r="O90" s="35"/>
      <c r="P90" s="35"/>
      <c r="Q90" s="35"/>
      <c r="R90" s="35"/>
      <c r="U90" s="85"/>
    </row>
    <row r="91" spans="1:21" s="24" customFormat="1" x14ac:dyDescent="0.25">
      <c r="A91" s="35"/>
      <c r="B91" s="35"/>
      <c r="F91" s="35"/>
      <c r="H91" s="35"/>
      <c r="J91" s="35"/>
      <c r="L91" s="35"/>
      <c r="N91" s="35"/>
      <c r="O91" s="35"/>
      <c r="P91" s="35"/>
      <c r="Q91" s="35"/>
      <c r="R91" s="35"/>
      <c r="U91" s="85"/>
    </row>
    <row r="92" spans="1:21" s="24" customFormat="1" x14ac:dyDescent="0.25">
      <c r="A92" s="35"/>
      <c r="B92" s="35"/>
      <c r="F92" s="35"/>
      <c r="H92" s="35"/>
      <c r="J92" s="35"/>
      <c r="L92" s="35"/>
      <c r="N92" s="35"/>
      <c r="O92" s="35"/>
      <c r="P92" s="35"/>
      <c r="Q92" s="35"/>
      <c r="R92" s="35"/>
      <c r="U92" s="85"/>
    </row>
    <row r="93" spans="1:21" s="24" customFormat="1" x14ac:dyDescent="0.25">
      <c r="A93" s="35"/>
      <c r="B93" s="35"/>
      <c r="F93" s="35"/>
      <c r="H93" s="35"/>
      <c r="J93" s="35"/>
      <c r="L93" s="35"/>
      <c r="N93" s="35"/>
      <c r="O93" s="35"/>
      <c r="P93" s="35"/>
      <c r="Q93" s="35"/>
      <c r="R93" s="35"/>
      <c r="U93" s="85"/>
    </row>
    <row r="94" spans="1:21" s="24" customFormat="1" x14ac:dyDescent="0.25">
      <c r="A94" s="35"/>
      <c r="B94" s="35"/>
      <c r="F94" s="35"/>
      <c r="H94" s="35"/>
      <c r="J94" s="35"/>
      <c r="L94" s="35"/>
      <c r="N94" s="35"/>
      <c r="O94" s="35"/>
      <c r="P94" s="35"/>
      <c r="Q94" s="35"/>
      <c r="R94" s="35"/>
      <c r="U94" s="85"/>
    </row>
    <row r="95" spans="1:21" s="24" customFormat="1" x14ac:dyDescent="0.25">
      <c r="A95" s="35"/>
      <c r="B95" s="35"/>
      <c r="F95" s="35"/>
      <c r="H95" s="35"/>
      <c r="J95" s="35"/>
      <c r="L95" s="35"/>
      <c r="N95" s="35"/>
      <c r="O95" s="35"/>
      <c r="P95" s="35"/>
      <c r="Q95" s="35"/>
      <c r="R95" s="35"/>
      <c r="U95" s="85"/>
    </row>
    <row r="96" spans="1:21" s="24" customFormat="1" x14ac:dyDescent="0.25">
      <c r="A96" s="35"/>
      <c r="B96" s="35"/>
      <c r="F96" s="35"/>
      <c r="H96" s="35"/>
      <c r="J96" s="35"/>
      <c r="L96" s="35"/>
      <c r="N96" s="35"/>
      <c r="O96" s="35"/>
      <c r="P96" s="35"/>
      <c r="Q96" s="35"/>
      <c r="R96" s="35"/>
      <c r="U96" s="85"/>
    </row>
    <row r="97" spans="1:21" s="24" customFormat="1" x14ac:dyDescent="0.25">
      <c r="A97" s="35"/>
      <c r="B97" s="35"/>
      <c r="F97" s="35"/>
      <c r="H97" s="35"/>
      <c r="J97" s="35"/>
      <c r="L97" s="35"/>
      <c r="N97" s="35"/>
      <c r="O97" s="35"/>
      <c r="P97" s="35"/>
      <c r="Q97" s="35"/>
      <c r="R97" s="35"/>
      <c r="U97" s="85"/>
    </row>
    <row r="98" spans="1:21" s="24" customFormat="1" x14ac:dyDescent="0.25">
      <c r="A98" s="35"/>
      <c r="B98" s="35"/>
      <c r="F98" s="35"/>
      <c r="H98" s="35"/>
      <c r="J98" s="35"/>
      <c r="L98" s="35"/>
      <c r="N98" s="35"/>
      <c r="O98" s="35"/>
      <c r="P98" s="35"/>
      <c r="Q98" s="35"/>
      <c r="R98" s="35"/>
      <c r="U98" s="85"/>
    </row>
    <row r="99" spans="1:21" s="24" customFormat="1" x14ac:dyDescent="0.25">
      <c r="A99" s="35"/>
      <c r="B99" s="35"/>
      <c r="F99" s="35"/>
      <c r="H99" s="35"/>
      <c r="J99" s="35"/>
      <c r="L99" s="35"/>
      <c r="N99" s="35"/>
      <c r="O99" s="35"/>
      <c r="P99" s="35"/>
      <c r="Q99" s="35"/>
      <c r="R99" s="35"/>
      <c r="U99" s="85"/>
    </row>
    <row r="100" spans="1:21" s="24" customFormat="1" x14ac:dyDescent="0.25">
      <c r="A100" s="35"/>
      <c r="B100" s="35"/>
      <c r="F100" s="35"/>
      <c r="H100" s="35"/>
      <c r="J100" s="35"/>
      <c r="L100" s="35"/>
      <c r="N100" s="35"/>
      <c r="O100" s="35"/>
      <c r="P100" s="35"/>
      <c r="Q100" s="35"/>
      <c r="R100" s="35"/>
      <c r="U100" s="85"/>
    </row>
    <row r="101" spans="1:21" s="24" customFormat="1" x14ac:dyDescent="0.25">
      <c r="A101" s="35"/>
      <c r="B101" s="35"/>
      <c r="F101" s="35"/>
      <c r="H101" s="35"/>
      <c r="J101" s="35"/>
      <c r="L101" s="35"/>
      <c r="N101" s="35"/>
      <c r="O101" s="35"/>
      <c r="P101" s="35"/>
      <c r="Q101" s="35"/>
      <c r="R101" s="35"/>
      <c r="U101" s="85"/>
    </row>
    <row r="102" spans="1:21" s="24" customFormat="1" x14ac:dyDescent="0.25">
      <c r="A102" s="35"/>
      <c r="B102" s="35"/>
      <c r="F102" s="35"/>
      <c r="H102" s="35"/>
      <c r="J102" s="35"/>
      <c r="L102" s="35"/>
      <c r="N102" s="35"/>
      <c r="O102" s="35"/>
      <c r="P102" s="35"/>
      <c r="Q102" s="35"/>
      <c r="R102" s="35"/>
      <c r="U102" s="85"/>
    </row>
    <row r="103" spans="1:21" s="24" customFormat="1" x14ac:dyDescent="0.25">
      <c r="A103" s="35"/>
      <c r="B103" s="35"/>
      <c r="F103" s="35"/>
      <c r="H103" s="35"/>
      <c r="J103" s="35"/>
      <c r="L103" s="35"/>
      <c r="N103" s="35"/>
      <c r="O103" s="35"/>
      <c r="P103" s="35"/>
      <c r="Q103" s="35"/>
      <c r="R103" s="35"/>
      <c r="U103" s="85"/>
    </row>
    <row r="104" spans="1:21" s="24" customFormat="1" x14ac:dyDescent="0.25">
      <c r="A104" s="35"/>
      <c r="B104" s="35"/>
      <c r="F104" s="35"/>
      <c r="H104" s="35"/>
      <c r="J104" s="35"/>
      <c r="L104" s="35"/>
      <c r="N104" s="35"/>
      <c r="O104" s="35"/>
      <c r="P104" s="35"/>
      <c r="Q104" s="35"/>
      <c r="R104" s="35"/>
      <c r="U104" s="85"/>
    </row>
    <row r="105" spans="1:21" s="24" customFormat="1" x14ac:dyDescent="0.25">
      <c r="A105" s="35"/>
      <c r="B105" s="35"/>
      <c r="F105" s="35"/>
      <c r="H105" s="35"/>
      <c r="J105" s="35"/>
      <c r="L105" s="35"/>
      <c r="N105" s="35"/>
      <c r="O105" s="35"/>
      <c r="P105" s="35"/>
      <c r="Q105" s="35"/>
      <c r="R105" s="35"/>
      <c r="U105" s="85"/>
    </row>
    <row r="106" spans="1:21" s="24" customFormat="1" x14ac:dyDescent="0.25">
      <c r="A106" s="35"/>
      <c r="B106" s="35"/>
      <c r="F106" s="35"/>
      <c r="H106" s="35"/>
      <c r="J106" s="35"/>
      <c r="L106" s="35"/>
      <c r="N106" s="35"/>
      <c r="O106" s="35"/>
      <c r="P106" s="35"/>
      <c r="Q106" s="35"/>
      <c r="R106" s="35"/>
      <c r="U106" s="85"/>
    </row>
    <row r="107" spans="1:21" s="24" customFormat="1" x14ac:dyDescent="0.25">
      <c r="A107" s="35"/>
      <c r="B107" s="35"/>
      <c r="F107" s="35"/>
      <c r="H107" s="35"/>
      <c r="J107" s="35"/>
      <c r="L107" s="35"/>
      <c r="N107" s="35"/>
      <c r="O107" s="35"/>
      <c r="P107" s="35"/>
      <c r="Q107" s="35"/>
      <c r="R107" s="35"/>
      <c r="U107" s="85"/>
    </row>
    <row r="108" spans="1:21" s="24" customFormat="1" x14ac:dyDescent="0.25">
      <c r="A108" s="35"/>
      <c r="B108" s="35"/>
      <c r="F108" s="35"/>
      <c r="H108" s="35"/>
      <c r="J108" s="35"/>
      <c r="L108" s="35"/>
      <c r="N108" s="35"/>
      <c r="O108" s="35"/>
      <c r="P108" s="35"/>
      <c r="Q108" s="35"/>
      <c r="R108" s="35"/>
      <c r="U108" s="85"/>
    </row>
    <row r="109" spans="1:21" s="24" customFormat="1" x14ac:dyDescent="0.25">
      <c r="A109" s="35"/>
      <c r="B109" s="35"/>
      <c r="F109" s="35"/>
      <c r="H109" s="35"/>
      <c r="J109" s="35"/>
      <c r="L109" s="35"/>
      <c r="N109" s="35"/>
      <c r="O109" s="35"/>
      <c r="P109" s="35"/>
      <c r="Q109" s="35"/>
      <c r="R109" s="35"/>
      <c r="U109" s="85"/>
    </row>
    <row r="110" spans="1:21" s="24" customFormat="1" x14ac:dyDescent="0.25">
      <c r="A110" s="35"/>
      <c r="B110" s="35"/>
      <c r="F110" s="35"/>
      <c r="H110" s="35"/>
      <c r="J110" s="35"/>
      <c r="L110" s="35"/>
      <c r="N110" s="35"/>
      <c r="O110" s="35"/>
      <c r="P110" s="35"/>
      <c r="Q110" s="35"/>
      <c r="R110" s="35"/>
      <c r="U110" s="85"/>
    </row>
    <row r="111" spans="1:21" s="24" customFormat="1" x14ac:dyDescent="0.25">
      <c r="A111" s="35"/>
      <c r="B111" s="35"/>
      <c r="F111" s="35"/>
      <c r="H111" s="35"/>
      <c r="J111" s="35"/>
      <c r="L111" s="35"/>
      <c r="N111" s="35"/>
      <c r="O111" s="35"/>
      <c r="P111" s="35"/>
      <c r="Q111" s="35"/>
      <c r="R111" s="35"/>
      <c r="U111" s="85"/>
    </row>
    <row r="112" spans="1:21" s="24" customFormat="1" x14ac:dyDescent="0.25">
      <c r="A112" s="35"/>
      <c r="B112" s="35"/>
      <c r="F112" s="35"/>
      <c r="H112" s="35"/>
      <c r="J112" s="35"/>
      <c r="L112" s="35"/>
      <c r="N112" s="35"/>
      <c r="O112" s="35"/>
      <c r="P112" s="35"/>
      <c r="Q112" s="35"/>
      <c r="R112" s="35"/>
      <c r="U112" s="85"/>
    </row>
    <row r="113" spans="1:21" s="24" customFormat="1" x14ac:dyDescent="0.25">
      <c r="A113" s="35"/>
      <c r="B113" s="35"/>
      <c r="F113" s="35"/>
      <c r="H113" s="35"/>
      <c r="J113" s="35"/>
      <c r="L113" s="35"/>
      <c r="N113" s="35"/>
      <c r="O113" s="35"/>
      <c r="P113" s="35"/>
      <c r="Q113" s="35"/>
      <c r="R113" s="35"/>
      <c r="U113" s="85"/>
    </row>
    <row r="114" spans="1:21" s="24" customFormat="1" ht="21" customHeight="1" x14ac:dyDescent="0.25">
      <c r="A114" s="168" t="s">
        <v>58</v>
      </c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</row>
    <row r="115" spans="1:21" s="86" customFormat="1" ht="21" customHeight="1" x14ac:dyDescent="0.25">
      <c r="A115" s="168" t="s">
        <v>434</v>
      </c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</row>
    <row r="116" spans="1:21" s="14" customFormat="1" ht="15" customHeight="1" x14ac:dyDescent="0.3">
      <c r="A116" s="11"/>
      <c r="B116" s="11"/>
      <c r="C116" s="1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6"/>
      <c r="Q116" s="11"/>
      <c r="R116" s="11"/>
      <c r="S116" s="11"/>
      <c r="U116" s="18" t="s">
        <v>24</v>
      </c>
    </row>
    <row r="117" spans="1:21" s="24" customFormat="1" ht="15.75" customHeight="1" x14ac:dyDescent="0.25">
      <c r="A117" s="19" t="s">
        <v>0</v>
      </c>
      <c r="B117" s="19" t="s">
        <v>25</v>
      </c>
      <c r="C117" s="20" t="s">
        <v>26</v>
      </c>
      <c r="D117" s="20" t="s">
        <v>27</v>
      </c>
      <c r="E117" s="21" t="s">
        <v>28</v>
      </c>
      <c r="F117" s="19" t="s">
        <v>28</v>
      </c>
      <c r="G117" s="22"/>
      <c r="H117" s="19" t="s">
        <v>31</v>
      </c>
      <c r="I117" s="22"/>
      <c r="J117" s="19" t="s">
        <v>32</v>
      </c>
      <c r="K117" s="22"/>
      <c r="L117" s="19" t="s">
        <v>33</v>
      </c>
      <c r="M117" s="22"/>
      <c r="N117" s="19" t="s">
        <v>33</v>
      </c>
      <c r="O117" s="19" t="s">
        <v>34</v>
      </c>
      <c r="P117" s="19" t="s">
        <v>19</v>
      </c>
      <c r="Q117" s="23" t="s">
        <v>35</v>
      </c>
      <c r="R117" s="19" t="s">
        <v>36</v>
      </c>
      <c r="S117" s="19" t="s">
        <v>37</v>
      </c>
      <c r="T117" s="19" t="s">
        <v>51</v>
      </c>
      <c r="U117" s="20" t="s">
        <v>55</v>
      </c>
    </row>
    <row r="118" spans="1:21" s="24" customFormat="1" ht="15.75" customHeight="1" x14ac:dyDescent="0.25">
      <c r="A118" s="25"/>
      <c r="B118" s="25"/>
      <c r="C118" s="26"/>
      <c r="D118" s="27" t="s">
        <v>2</v>
      </c>
      <c r="E118" s="28" t="s">
        <v>29</v>
      </c>
      <c r="F118" s="25" t="s">
        <v>30</v>
      </c>
      <c r="G118" s="26"/>
      <c r="H118" s="25" t="s">
        <v>20</v>
      </c>
      <c r="I118" s="26"/>
      <c r="J118" s="25" t="s">
        <v>38</v>
      </c>
      <c r="K118" s="26"/>
      <c r="L118" s="25" t="s">
        <v>39</v>
      </c>
      <c r="M118" s="26"/>
      <c r="N118" s="25" t="s">
        <v>40</v>
      </c>
      <c r="O118" s="25" t="s">
        <v>41</v>
      </c>
      <c r="P118" s="25"/>
      <c r="Q118" s="29"/>
      <c r="R118" s="25" t="s">
        <v>42</v>
      </c>
      <c r="S118" s="25"/>
      <c r="T118" s="25" t="s">
        <v>43</v>
      </c>
      <c r="U118" s="27" t="s">
        <v>44</v>
      </c>
    </row>
    <row r="119" spans="1:21" s="37" customFormat="1" ht="18" customHeight="1" x14ac:dyDescent="0.25">
      <c r="A119" s="30">
        <v>1</v>
      </c>
      <c r="B119" s="31"/>
      <c r="C119" s="32"/>
      <c r="D119" s="88" t="s">
        <v>82</v>
      </c>
      <c r="E119" s="33">
        <v>45914</v>
      </c>
      <c r="F119" s="30">
        <v>30</v>
      </c>
      <c r="G119" s="40">
        <v>10140000</v>
      </c>
      <c r="H119" s="30">
        <f>ROUND(G119*F119/$C$3*30%,0)</f>
        <v>2943871</v>
      </c>
      <c r="I119" s="40">
        <v>11544000</v>
      </c>
      <c r="J119" s="30">
        <f>ROUND(I119*F119/$C$3*30%,0)</f>
        <v>3351484</v>
      </c>
      <c r="K119" s="40">
        <v>6240000</v>
      </c>
      <c r="L119" s="30">
        <f>ROUND(K119*F119/$C$3*30%,0)</f>
        <v>1811613</v>
      </c>
      <c r="M119" s="40">
        <f>6136000+3290000</f>
        <v>9426000</v>
      </c>
      <c r="N119" s="30">
        <f>ROUND(M119*F119/$C$3*30%,0)</f>
        <v>2736581</v>
      </c>
      <c r="O119" s="30">
        <f>H119+J119+L119+N119</f>
        <v>10843549</v>
      </c>
      <c r="P119" s="30" t="e">
        <f>VLOOKUP(B119,'[3]Đi tàu'!$B$7:$F$148,5,FALSE)</f>
        <v>#N/A</v>
      </c>
      <c r="Q119" s="34" t="e">
        <f>VLOOKUP(B119,[4]T11!$B$7:$F$123,5,FALSE)</f>
        <v>#N/A</v>
      </c>
      <c r="R119" s="67">
        <f>ROUND(100*$R$3,0)</f>
        <v>2615800</v>
      </c>
      <c r="S119" s="30"/>
      <c r="T119" s="30" t="e">
        <f>ROUND(O119-P119-Q119-R119-S119,0)</f>
        <v>#N/A</v>
      </c>
      <c r="U119" s="96"/>
    </row>
    <row r="120" spans="1:21" s="94" customFormat="1" ht="21.6" customHeight="1" x14ac:dyDescent="0.25">
      <c r="A120" s="90"/>
      <c r="B120" s="43"/>
      <c r="C120" s="79" t="s">
        <v>21</v>
      </c>
      <c r="D120" s="43"/>
      <c r="E120" s="43"/>
      <c r="F120" s="42">
        <f>SUM(F119:F119)</f>
        <v>30</v>
      </c>
      <c r="G120" s="42"/>
      <c r="H120" s="42">
        <f>SUM(H119:H119)</f>
        <v>2943871</v>
      </c>
      <c r="I120" s="42"/>
      <c r="J120" s="42">
        <f>SUM(J119:J119)</f>
        <v>3351484</v>
      </c>
      <c r="K120" s="42"/>
      <c r="L120" s="42">
        <f>SUM(L119:L119)</f>
        <v>1811613</v>
      </c>
      <c r="M120" s="42"/>
      <c r="N120" s="42">
        <f t="shared" ref="N120:T120" si="9">SUM(N119:N119)</f>
        <v>2736581</v>
      </c>
      <c r="O120" s="42">
        <f t="shared" si="9"/>
        <v>10843549</v>
      </c>
      <c r="P120" s="42" t="e">
        <f t="shared" si="9"/>
        <v>#N/A</v>
      </c>
      <c r="Q120" s="42" t="e">
        <f t="shared" si="9"/>
        <v>#N/A</v>
      </c>
      <c r="R120" s="42">
        <f t="shared" si="9"/>
        <v>2615800</v>
      </c>
      <c r="S120" s="42">
        <f t="shared" si="9"/>
        <v>0</v>
      </c>
      <c r="T120" s="42" t="e">
        <f t="shared" si="9"/>
        <v>#N/A</v>
      </c>
      <c r="U120" s="93"/>
    </row>
    <row r="121" spans="1:21" s="24" customFormat="1" ht="15" customHeight="1" x14ac:dyDescent="0.25">
      <c r="A121" s="51"/>
      <c r="B121" s="35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97"/>
    </row>
    <row r="122" spans="1:21" s="59" customFormat="1" ht="15" customHeight="1" x14ac:dyDescent="0.25">
      <c r="A122" s="58"/>
      <c r="B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S122" s="61"/>
      <c r="U122" s="62" t="s">
        <v>80</v>
      </c>
    </row>
    <row r="123" spans="1:21" s="63" customFormat="1" ht="18" customHeight="1" x14ac:dyDescent="0.35">
      <c r="B123" s="63" t="s">
        <v>45</v>
      </c>
      <c r="E123" s="63" t="s">
        <v>56</v>
      </c>
      <c r="O123" s="63" t="s">
        <v>47</v>
      </c>
      <c r="S123" s="63" t="s">
        <v>48</v>
      </c>
    </row>
    <row r="124" spans="1:21" s="24" customFormat="1" ht="15.75" customHeight="1" x14ac:dyDescent="0.25">
      <c r="A124" s="35"/>
      <c r="B124" s="59"/>
      <c r="C124" s="59"/>
      <c r="D124" s="59"/>
      <c r="E124" s="59"/>
      <c r="F124" s="35"/>
      <c r="O124" s="61"/>
      <c r="P124" s="61"/>
      <c r="Q124" s="61"/>
      <c r="R124" s="61"/>
      <c r="U124" s="85"/>
    </row>
    <row r="125" spans="1:21" s="24" customFormat="1" ht="15.75" customHeight="1" x14ac:dyDescent="0.25">
      <c r="A125" s="35"/>
      <c r="B125" s="59"/>
      <c r="C125" s="59"/>
      <c r="D125" s="59"/>
      <c r="E125" s="59"/>
      <c r="F125" s="35"/>
      <c r="O125" s="61"/>
      <c r="P125" s="61"/>
      <c r="Q125" s="61"/>
      <c r="R125" s="61"/>
      <c r="U125" s="85"/>
    </row>
    <row r="126" spans="1:21" s="24" customFormat="1" x14ac:dyDescent="0.25">
      <c r="A126" s="35"/>
      <c r="B126" s="35"/>
      <c r="F126" s="35"/>
      <c r="H126" s="35"/>
      <c r="J126" s="35"/>
      <c r="L126" s="35"/>
      <c r="N126" s="35"/>
      <c r="O126" s="35"/>
      <c r="P126" s="35"/>
      <c r="Q126" s="35"/>
      <c r="R126" s="35"/>
      <c r="U126" s="85"/>
    </row>
    <row r="127" spans="1:21" s="24" customFormat="1" x14ac:dyDescent="0.25">
      <c r="A127" s="35"/>
      <c r="B127" s="35"/>
      <c r="F127" s="35"/>
      <c r="H127" s="35"/>
      <c r="J127" s="35"/>
      <c r="L127" s="35"/>
      <c r="N127" s="35"/>
      <c r="O127" s="35"/>
      <c r="P127" s="35"/>
      <c r="Q127" s="35"/>
      <c r="R127" s="35"/>
      <c r="U127" s="85"/>
    </row>
    <row r="128" spans="1:21" s="24" customFormat="1" x14ac:dyDescent="0.25">
      <c r="A128" s="35"/>
      <c r="B128" s="35"/>
      <c r="F128" s="35"/>
      <c r="H128" s="35"/>
      <c r="J128" s="35"/>
      <c r="L128" s="35"/>
      <c r="N128" s="35"/>
      <c r="O128" s="35"/>
      <c r="P128" s="35"/>
      <c r="Q128" s="35"/>
      <c r="R128" s="35"/>
      <c r="U128" s="85"/>
    </row>
    <row r="129" spans="1:21" s="24" customFormat="1" x14ac:dyDescent="0.25">
      <c r="A129" s="35"/>
      <c r="B129" s="35"/>
      <c r="F129" s="35"/>
      <c r="H129" s="35"/>
      <c r="J129" s="35"/>
      <c r="L129" s="35"/>
      <c r="N129" s="35"/>
      <c r="O129" s="35"/>
      <c r="P129" s="35"/>
      <c r="Q129" s="35"/>
      <c r="R129" s="35"/>
      <c r="U129" s="85"/>
    </row>
    <row r="130" spans="1:21" s="24" customFormat="1" x14ac:dyDescent="0.25">
      <c r="A130" s="35"/>
      <c r="B130" s="35"/>
      <c r="F130" s="35"/>
      <c r="H130" s="35"/>
      <c r="J130" s="35"/>
      <c r="L130" s="35"/>
      <c r="N130" s="35"/>
      <c r="O130" s="35"/>
      <c r="P130" s="35"/>
      <c r="Q130" s="35"/>
      <c r="R130" s="35"/>
      <c r="U130" s="85"/>
    </row>
    <row r="131" spans="1:21" s="24" customFormat="1" x14ac:dyDescent="0.25">
      <c r="A131" s="35"/>
      <c r="B131" s="35"/>
      <c r="F131" s="35"/>
      <c r="H131" s="35"/>
      <c r="J131" s="35"/>
      <c r="L131" s="35"/>
      <c r="N131" s="35"/>
      <c r="O131" s="35"/>
      <c r="P131" s="35"/>
      <c r="Q131" s="35"/>
      <c r="R131" s="35"/>
      <c r="U131" s="85"/>
    </row>
    <row r="132" spans="1:21" s="24" customFormat="1" x14ac:dyDescent="0.25">
      <c r="A132" s="35"/>
      <c r="B132" s="35"/>
      <c r="F132" s="35"/>
      <c r="H132" s="35"/>
      <c r="J132" s="35"/>
      <c r="L132" s="35"/>
      <c r="N132" s="35"/>
      <c r="O132" s="35"/>
      <c r="P132" s="35"/>
      <c r="Q132" s="35"/>
      <c r="R132" s="35"/>
      <c r="U132" s="85"/>
    </row>
    <row r="133" spans="1:21" s="24" customFormat="1" x14ac:dyDescent="0.25">
      <c r="A133" s="35"/>
      <c r="B133" s="35"/>
      <c r="F133" s="35"/>
      <c r="H133" s="35"/>
      <c r="J133" s="35"/>
      <c r="L133" s="35"/>
      <c r="N133" s="35"/>
      <c r="O133" s="35"/>
      <c r="P133" s="35"/>
      <c r="Q133" s="35"/>
      <c r="R133" s="35"/>
      <c r="U133" s="85"/>
    </row>
    <row r="134" spans="1:21" s="24" customFormat="1" x14ac:dyDescent="0.25">
      <c r="A134" s="35"/>
      <c r="B134" s="35"/>
      <c r="F134" s="35"/>
      <c r="H134" s="35"/>
      <c r="J134" s="35"/>
      <c r="L134" s="35"/>
      <c r="N134" s="35"/>
      <c r="O134" s="35"/>
      <c r="P134" s="35"/>
      <c r="Q134" s="35"/>
      <c r="R134" s="35"/>
      <c r="U134" s="85"/>
    </row>
    <row r="135" spans="1:21" s="24" customFormat="1" x14ac:dyDescent="0.25">
      <c r="A135" s="35"/>
      <c r="B135" s="35"/>
      <c r="F135" s="35"/>
      <c r="H135" s="35"/>
      <c r="J135" s="35"/>
      <c r="L135" s="35"/>
      <c r="N135" s="35"/>
      <c r="O135" s="35"/>
      <c r="P135" s="35"/>
      <c r="Q135" s="35"/>
      <c r="R135" s="35"/>
      <c r="U135" s="85"/>
    </row>
    <row r="136" spans="1:21" s="24" customFormat="1" x14ac:dyDescent="0.25">
      <c r="A136" s="35"/>
      <c r="B136" s="35"/>
      <c r="F136" s="35"/>
      <c r="H136" s="35"/>
      <c r="J136" s="35"/>
      <c r="L136" s="35"/>
      <c r="N136" s="35"/>
      <c r="O136" s="35"/>
      <c r="P136" s="35"/>
      <c r="Q136" s="35"/>
      <c r="R136" s="35"/>
      <c r="U136" s="85"/>
    </row>
    <row r="137" spans="1:21" s="24" customFormat="1" x14ac:dyDescent="0.25">
      <c r="A137" s="35"/>
      <c r="B137" s="35"/>
      <c r="F137" s="35"/>
      <c r="H137" s="35"/>
      <c r="J137" s="35"/>
      <c r="L137" s="35"/>
      <c r="N137" s="35"/>
      <c r="O137" s="35"/>
      <c r="P137" s="35"/>
      <c r="Q137" s="35"/>
      <c r="R137" s="35"/>
      <c r="U137" s="85"/>
    </row>
    <row r="138" spans="1:21" s="24" customFormat="1" x14ac:dyDescent="0.25">
      <c r="A138" s="35"/>
      <c r="B138" s="35"/>
      <c r="F138" s="35"/>
      <c r="H138" s="35"/>
      <c r="J138" s="35"/>
      <c r="L138" s="35"/>
      <c r="N138" s="35"/>
      <c r="O138" s="35"/>
      <c r="P138" s="35"/>
      <c r="Q138" s="35"/>
      <c r="R138" s="35"/>
      <c r="U138" s="85"/>
    </row>
    <row r="139" spans="1:21" s="24" customFormat="1" x14ac:dyDescent="0.25">
      <c r="A139" s="35"/>
      <c r="B139" s="35"/>
      <c r="F139" s="35"/>
      <c r="H139" s="35"/>
      <c r="J139" s="35"/>
      <c r="L139" s="35"/>
      <c r="N139" s="35"/>
      <c r="O139" s="35"/>
      <c r="P139" s="35"/>
      <c r="Q139" s="35"/>
      <c r="R139" s="35"/>
      <c r="U139" s="85"/>
    </row>
    <row r="140" spans="1:21" s="24" customFormat="1" x14ac:dyDescent="0.25">
      <c r="A140" s="35"/>
      <c r="B140" s="35"/>
      <c r="F140" s="35"/>
      <c r="H140" s="35"/>
      <c r="J140" s="35"/>
      <c r="L140" s="35"/>
      <c r="N140" s="35"/>
      <c r="O140" s="35"/>
      <c r="P140" s="35"/>
      <c r="Q140" s="35"/>
      <c r="R140" s="35"/>
      <c r="U140" s="85"/>
    </row>
    <row r="141" spans="1:21" s="24" customFormat="1" x14ac:dyDescent="0.25">
      <c r="A141" s="35"/>
      <c r="B141" s="35"/>
      <c r="F141" s="35"/>
      <c r="H141" s="35"/>
      <c r="J141" s="35"/>
      <c r="L141" s="35"/>
      <c r="N141" s="35"/>
      <c r="O141" s="35"/>
      <c r="P141" s="35"/>
      <c r="Q141" s="35"/>
      <c r="R141" s="35"/>
      <c r="U141" s="85"/>
    </row>
    <row r="142" spans="1:21" s="24" customFormat="1" x14ac:dyDescent="0.25">
      <c r="A142" s="35"/>
      <c r="B142" s="35"/>
      <c r="F142" s="35"/>
      <c r="H142" s="35"/>
      <c r="J142" s="35"/>
      <c r="L142" s="35"/>
      <c r="N142" s="35"/>
      <c r="O142" s="35"/>
      <c r="P142" s="35"/>
      <c r="Q142" s="35"/>
      <c r="R142" s="35"/>
      <c r="U142" s="85"/>
    </row>
    <row r="143" spans="1:21" s="24" customFormat="1" x14ac:dyDescent="0.25">
      <c r="A143" s="35"/>
      <c r="B143" s="35"/>
      <c r="F143" s="35"/>
      <c r="H143" s="35"/>
      <c r="J143" s="35"/>
      <c r="L143" s="35"/>
      <c r="N143" s="35"/>
      <c r="O143" s="35"/>
      <c r="P143" s="35"/>
      <c r="Q143" s="35"/>
      <c r="R143" s="35"/>
      <c r="U143" s="85"/>
    </row>
    <row r="144" spans="1:21" s="24" customFormat="1" x14ac:dyDescent="0.25">
      <c r="A144" s="35"/>
      <c r="B144" s="35"/>
      <c r="F144" s="35"/>
      <c r="H144" s="35"/>
      <c r="J144" s="35"/>
      <c r="L144" s="35"/>
      <c r="N144" s="35"/>
      <c r="O144" s="35"/>
      <c r="P144" s="35"/>
      <c r="Q144" s="35"/>
      <c r="R144" s="35"/>
      <c r="U144" s="85"/>
    </row>
    <row r="145" spans="1:21" s="24" customFormat="1" x14ac:dyDescent="0.25">
      <c r="A145" s="35"/>
      <c r="B145" s="35"/>
      <c r="F145" s="35"/>
      <c r="H145" s="35"/>
      <c r="J145" s="35"/>
      <c r="L145" s="35"/>
      <c r="N145" s="35"/>
      <c r="O145" s="35"/>
      <c r="P145" s="35"/>
      <c r="Q145" s="35"/>
      <c r="R145" s="35"/>
      <c r="U145" s="85"/>
    </row>
    <row r="146" spans="1:21" s="24" customFormat="1" x14ac:dyDescent="0.25">
      <c r="A146" s="35"/>
      <c r="B146" s="35"/>
      <c r="F146" s="35"/>
      <c r="H146" s="35"/>
      <c r="J146" s="35"/>
      <c r="L146" s="35"/>
      <c r="N146" s="35"/>
      <c r="O146" s="35"/>
      <c r="P146" s="35"/>
      <c r="Q146" s="35"/>
      <c r="R146" s="35"/>
      <c r="U146" s="85"/>
    </row>
    <row r="147" spans="1:21" s="24" customFormat="1" x14ac:dyDescent="0.25">
      <c r="A147" s="35"/>
      <c r="B147" s="35"/>
      <c r="F147" s="35"/>
      <c r="H147" s="35"/>
      <c r="J147" s="35"/>
      <c r="L147" s="35"/>
      <c r="N147" s="35"/>
      <c r="O147" s="35"/>
      <c r="P147" s="35"/>
      <c r="Q147" s="35"/>
      <c r="R147" s="35"/>
      <c r="U147" s="85"/>
    </row>
    <row r="148" spans="1:21" s="24" customFormat="1" x14ac:dyDescent="0.25">
      <c r="A148" s="35"/>
      <c r="B148" s="35"/>
      <c r="F148" s="35"/>
      <c r="H148" s="35"/>
      <c r="J148" s="35"/>
      <c r="L148" s="35"/>
      <c r="N148" s="35"/>
      <c r="O148" s="35"/>
      <c r="P148" s="35"/>
      <c r="Q148" s="35"/>
      <c r="R148" s="35"/>
      <c r="U148" s="85"/>
    </row>
    <row r="149" spans="1:21" s="24" customFormat="1" x14ac:dyDescent="0.25">
      <c r="A149" s="35"/>
      <c r="B149" s="35"/>
      <c r="F149" s="35"/>
      <c r="H149" s="35"/>
      <c r="J149" s="35"/>
      <c r="L149" s="35"/>
      <c r="N149" s="35"/>
      <c r="O149" s="35"/>
      <c r="P149" s="35"/>
      <c r="Q149" s="35"/>
      <c r="R149" s="35"/>
      <c r="U149" s="85"/>
    </row>
    <row r="150" spans="1:21" s="24" customFormat="1" x14ac:dyDescent="0.25">
      <c r="A150" s="35"/>
      <c r="B150" s="35"/>
      <c r="F150" s="35"/>
      <c r="H150" s="35"/>
      <c r="J150" s="35"/>
      <c r="L150" s="35"/>
      <c r="N150" s="35"/>
      <c r="O150" s="35"/>
      <c r="P150" s="35"/>
      <c r="Q150" s="35"/>
      <c r="R150" s="35"/>
      <c r="U150" s="85"/>
    </row>
    <row r="151" spans="1:21" s="24" customFormat="1" ht="21" customHeight="1" x14ac:dyDescent="0.25">
      <c r="A151" s="168" t="s">
        <v>59</v>
      </c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</row>
    <row r="152" spans="1:21" s="86" customFormat="1" ht="21" customHeight="1" x14ac:dyDescent="0.25">
      <c r="A152" s="168" t="s">
        <v>551</v>
      </c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</row>
    <row r="153" spans="1:21" s="24" customFormat="1" ht="14.4" x14ac:dyDescent="0.3">
      <c r="A153" s="11"/>
      <c r="B153" s="11"/>
      <c r="C153" s="13"/>
      <c r="D153" s="14"/>
      <c r="E153" s="14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6"/>
      <c r="Q153" s="11"/>
      <c r="R153" s="11"/>
      <c r="S153" s="11"/>
      <c r="U153" s="18" t="s">
        <v>24</v>
      </c>
    </row>
    <row r="154" spans="1:21" s="24" customFormat="1" ht="15.75" customHeight="1" x14ac:dyDescent="0.25">
      <c r="A154" s="19" t="s">
        <v>0</v>
      </c>
      <c r="B154" s="19" t="s">
        <v>25</v>
      </c>
      <c r="C154" s="20" t="s">
        <v>26</v>
      </c>
      <c r="D154" s="20" t="s">
        <v>27</v>
      </c>
      <c r="E154" s="21" t="s">
        <v>28</v>
      </c>
      <c r="F154" s="19" t="s">
        <v>28</v>
      </c>
      <c r="G154" s="22"/>
      <c r="H154" s="19" t="s">
        <v>31</v>
      </c>
      <c r="I154" s="22"/>
      <c r="J154" s="19" t="s">
        <v>32</v>
      </c>
      <c r="K154" s="22"/>
      <c r="L154" s="19" t="s">
        <v>33</v>
      </c>
      <c r="M154" s="22"/>
      <c r="N154" s="19" t="s">
        <v>33</v>
      </c>
      <c r="O154" s="19" t="s">
        <v>34</v>
      </c>
      <c r="P154" s="19" t="s">
        <v>19</v>
      </c>
      <c r="Q154" s="23" t="s">
        <v>35</v>
      </c>
      <c r="R154" s="19" t="s">
        <v>36</v>
      </c>
      <c r="S154" s="19" t="s">
        <v>37</v>
      </c>
      <c r="T154" s="19" t="s">
        <v>51</v>
      </c>
      <c r="U154" s="20" t="s">
        <v>55</v>
      </c>
    </row>
    <row r="155" spans="1:21" s="24" customFormat="1" ht="15.75" customHeight="1" x14ac:dyDescent="0.25">
      <c r="A155" s="25"/>
      <c r="B155" s="25"/>
      <c r="C155" s="26"/>
      <c r="D155" s="27" t="s">
        <v>2</v>
      </c>
      <c r="E155" s="28" t="s">
        <v>29</v>
      </c>
      <c r="F155" s="25" t="s">
        <v>30</v>
      </c>
      <c r="G155" s="26"/>
      <c r="H155" s="25" t="s">
        <v>20</v>
      </c>
      <c r="I155" s="26"/>
      <c r="J155" s="25" t="s">
        <v>38</v>
      </c>
      <c r="K155" s="26"/>
      <c r="L155" s="25" t="s">
        <v>39</v>
      </c>
      <c r="M155" s="26"/>
      <c r="N155" s="25" t="s">
        <v>40</v>
      </c>
      <c r="O155" s="25" t="s">
        <v>41</v>
      </c>
      <c r="P155" s="25"/>
      <c r="Q155" s="29"/>
      <c r="R155" s="25" t="s">
        <v>42</v>
      </c>
      <c r="S155" s="25"/>
      <c r="T155" s="25" t="s">
        <v>43</v>
      </c>
      <c r="U155" s="27" t="s">
        <v>44</v>
      </c>
    </row>
    <row r="156" spans="1:21" s="37" customFormat="1" ht="18" customHeight="1" x14ac:dyDescent="0.25">
      <c r="A156" s="30">
        <v>1</v>
      </c>
      <c r="B156" s="31">
        <v>3053</v>
      </c>
      <c r="C156" s="32" t="s">
        <v>520</v>
      </c>
      <c r="D156" s="88" t="s">
        <v>18</v>
      </c>
      <c r="E156" s="33">
        <v>46091</v>
      </c>
      <c r="F156" s="30">
        <v>22</v>
      </c>
      <c r="G156" s="40">
        <v>5655000</v>
      </c>
      <c r="H156" s="30">
        <f t="shared" ref="H156" si="10">ROUND(G156*F156/$C$3*50%,0)</f>
        <v>2006613</v>
      </c>
      <c r="I156" s="40">
        <v>6438000</v>
      </c>
      <c r="J156" s="30">
        <f>ROUND(I156*F156/$C$3*50%,0)</f>
        <v>2284452</v>
      </c>
      <c r="K156" s="40">
        <v>3480000</v>
      </c>
      <c r="L156" s="30">
        <f>ROUND(K156*F156/$C$3*50%,0)</f>
        <v>1234839</v>
      </c>
      <c r="M156" s="40">
        <v>2427000</v>
      </c>
      <c r="N156" s="30">
        <f>ROUND(M156*F156/$C$3*50%,0)</f>
        <v>861194</v>
      </c>
      <c r="O156" s="30">
        <f>H156+J156+L156+N156</f>
        <v>6387098</v>
      </c>
      <c r="P156" s="30">
        <f>VLOOKUP(B156,'[1]Đi tàu'!$B$7:$F$119,5,FALSE)</f>
        <v>540000</v>
      </c>
      <c r="Q156" s="34">
        <f>VLOOKUP(B156,[2]T3!$B$7:$F$116,5,FALSE)</f>
        <v>30000</v>
      </c>
      <c r="R156" s="67">
        <f>ROUND(100*$R$3,0)</f>
        <v>2615800</v>
      </c>
      <c r="S156" s="34"/>
      <c r="T156" s="30">
        <f>ROUND(O156-P156-Q156-R156-S156,0)</f>
        <v>3201298</v>
      </c>
      <c r="U156" s="96"/>
    </row>
    <row r="157" spans="1:21" s="94" customFormat="1" ht="21.6" customHeight="1" x14ac:dyDescent="0.25">
      <c r="A157" s="90"/>
      <c r="B157" s="91"/>
      <c r="C157" s="79" t="s">
        <v>21</v>
      </c>
      <c r="D157" s="92"/>
      <c r="E157" s="92"/>
      <c r="F157" s="70">
        <f>SUM(F156:F156)</f>
        <v>22</v>
      </c>
      <c r="G157" s="42"/>
      <c r="H157" s="42">
        <f>SUM(H156:H156)</f>
        <v>2006613</v>
      </c>
      <c r="I157" s="42"/>
      <c r="J157" s="42">
        <f>SUM(J156:J156)</f>
        <v>2284452</v>
      </c>
      <c r="K157" s="42"/>
      <c r="L157" s="42">
        <f>SUM(L156:L156)</f>
        <v>1234839</v>
      </c>
      <c r="M157" s="42"/>
      <c r="N157" s="42">
        <f t="shared" ref="N157:T157" si="11">SUM(N156:N156)</f>
        <v>861194</v>
      </c>
      <c r="O157" s="42">
        <f t="shared" si="11"/>
        <v>6387098</v>
      </c>
      <c r="P157" s="42">
        <f t="shared" si="11"/>
        <v>540000</v>
      </c>
      <c r="Q157" s="42">
        <f t="shared" si="11"/>
        <v>30000</v>
      </c>
      <c r="R157" s="42">
        <f t="shared" si="11"/>
        <v>2615800</v>
      </c>
      <c r="S157" s="42">
        <f t="shared" si="11"/>
        <v>0</v>
      </c>
      <c r="T157" s="42">
        <f t="shared" si="11"/>
        <v>3201298</v>
      </c>
      <c r="U157" s="93"/>
    </row>
    <row r="158" spans="1:21" s="24" customFormat="1" x14ac:dyDescent="0.25">
      <c r="A158" s="35"/>
      <c r="B158" s="35"/>
      <c r="F158" s="35"/>
      <c r="H158" s="35"/>
      <c r="J158" s="35"/>
      <c r="L158" s="35"/>
      <c r="N158" s="35"/>
      <c r="O158" s="35"/>
      <c r="P158" s="35"/>
      <c r="Q158" s="35"/>
      <c r="R158" s="35"/>
      <c r="U158" s="85"/>
    </row>
    <row r="159" spans="1:21" s="59" customFormat="1" ht="15" customHeight="1" x14ac:dyDescent="0.25">
      <c r="A159" s="58"/>
      <c r="B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S159" s="61"/>
      <c r="U159" s="62" t="s">
        <v>453</v>
      </c>
    </row>
    <row r="160" spans="1:21" s="63" customFormat="1" ht="18" customHeight="1" x14ac:dyDescent="0.35">
      <c r="B160" s="63" t="s">
        <v>45</v>
      </c>
      <c r="E160" s="63" t="s">
        <v>56</v>
      </c>
      <c r="O160" s="63" t="s">
        <v>47</v>
      </c>
      <c r="S160" s="63" t="s">
        <v>48</v>
      </c>
    </row>
    <row r="161" spans="1:21" s="24" customFormat="1" x14ac:dyDescent="0.25">
      <c r="A161" s="35"/>
      <c r="B161" s="35"/>
      <c r="F161" s="35"/>
      <c r="H161" s="35"/>
      <c r="J161" s="35"/>
      <c r="L161" s="35"/>
      <c r="N161" s="35"/>
      <c r="O161" s="35"/>
      <c r="P161" s="35"/>
      <c r="Q161" s="35"/>
      <c r="R161" s="35"/>
      <c r="U161" s="85"/>
    </row>
    <row r="162" spans="1:21" s="24" customFormat="1" x14ac:dyDescent="0.25">
      <c r="A162" s="35"/>
      <c r="B162" s="35"/>
      <c r="F162" s="35"/>
      <c r="H162" s="35"/>
      <c r="J162" s="35"/>
      <c r="L162" s="35"/>
      <c r="N162" s="35"/>
      <c r="O162" s="35"/>
      <c r="P162" s="35"/>
      <c r="Q162" s="35"/>
      <c r="R162" s="35"/>
      <c r="U162" s="85"/>
    </row>
    <row r="163" spans="1:21" s="24" customFormat="1" x14ac:dyDescent="0.25">
      <c r="A163" s="35"/>
      <c r="B163" s="35"/>
      <c r="F163" s="35"/>
      <c r="H163" s="35"/>
      <c r="J163" s="35"/>
      <c r="L163" s="35"/>
      <c r="N163" s="35"/>
      <c r="O163" s="35"/>
      <c r="P163" s="35"/>
      <c r="Q163" s="35"/>
      <c r="R163" s="35"/>
      <c r="U163" s="85"/>
    </row>
    <row r="164" spans="1:21" s="24" customFormat="1" x14ac:dyDescent="0.25">
      <c r="A164" s="35"/>
      <c r="B164" s="35"/>
      <c r="F164" s="35"/>
      <c r="H164" s="35"/>
      <c r="J164" s="35"/>
      <c r="L164" s="35"/>
      <c r="N164" s="35"/>
      <c r="O164" s="35"/>
      <c r="P164" s="35"/>
      <c r="Q164" s="35"/>
      <c r="R164" s="35"/>
      <c r="U164" s="85"/>
    </row>
    <row r="165" spans="1:21" s="24" customFormat="1" x14ac:dyDescent="0.25">
      <c r="A165" s="35"/>
      <c r="B165" s="35"/>
      <c r="F165" s="35"/>
      <c r="H165" s="35"/>
      <c r="J165" s="35"/>
      <c r="L165" s="35"/>
      <c r="N165" s="35"/>
      <c r="O165" s="35"/>
      <c r="P165" s="35"/>
      <c r="Q165" s="35"/>
      <c r="R165" s="35"/>
      <c r="U165" s="85"/>
    </row>
    <row r="166" spans="1:21" s="24" customFormat="1" x14ac:dyDescent="0.25">
      <c r="A166" s="35"/>
      <c r="B166" s="35"/>
      <c r="F166" s="35"/>
      <c r="H166" s="35"/>
      <c r="J166" s="35"/>
      <c r="L166" s="35"/>
      <c r="N166" s="35"/>
      <c r="O166" s="35"/>
      <c r="P166" s="35"/>
      <c r="Q166" s="35"/>
      <c r="R166" s="35"/>
      <c r="U166" s="85"/>
    </row>
    <row r="167" spans="1:21" s="24" customFormat="1" x14ac:dyDescent="0.25">
      <c r="A167" s="35"/>
      <c r="B167" s="35"/>
      <c r="F167" s="35"/>
      <c r="H167" s="35"/>
      <c r="J167" s="35"/>
      <c r="L167" s="35"/>
      <c r="N167" s="35"/>
      <c r="O167" s="35"/>
      <c r="P167" s="35"/>
      <c r="Q167" s="35"/>
      <c r="R167" s="35"/>
      <c r="U167" s="85"/>
    </row>
    <row r="168" spans="1:21" s="24" customFormat="1" x14ac:dyDescent="0.25">
      <c r="A168" s="35"/>
      <c r="B168" s="35"/>
      <c r="F168" s="35"/>
      <c r="H168" s="35"/>
      <c r="J168" s="35"/>
      <c r="L168" s="35"/>
      <c r="N168" s="35"/>
      <c r="O168" s="35"/>
      <c r="P168" s="35"/>
      <c r="Q168" s="35"/>
      <c r="R168" s="35"/>
      <c r="U168" s="85"/>
    </row>
    <row r="169" spans="1:21" s="24" customFormat="1" x14ac:dyDescent="0.25">
      <c r="A169" s="35"/>
      <c r="B169" s="35"/>
      <c r="F169" s="35"/>
      <c r="H169" s="35"/>
      <c r="J169" s="35"/>
      <c r="L169" s="35"/>
      <c r="N169" s="35"/>
      <c r="O169" s="35"/>
      <c r="P169" s="35"/>
      <c r="Q169" s="35"/>
      <c r="R169" s="35"/>
      <c r="U169" s="85"/>
    </row>
    <row r="170" spans="1:21" s="24" customFormat="1" x14ac:dyDescent="0.25">
      <c r="A170" s="35"/>
      <c r="B170" s="35"/>
      <c r="F170" s="35"/>
      <c r="H170" s="35"/>
      <c r="J170" s="35"/>
      <c r="L170" s="35"/>
      <c r="N170" s="35"/>
      <c r="O170" s="35"/>
      <c r="P170" s="35"/>
      <c r="Q170" s="35"/>
      <c r="R170" s="35"/>
      <c r="U170" s="85"/>
    </row>
    <row r="171" spans="1:21" s="24" customFormat="1" x14ac:dyDescent="0.25">
      <c r="A171" s="35"/>
      <c r="B171" s="35"/>
      <c r="F171" s="35"/>
      <c r="H171" s="35"/>
      <c r="J171" s="35"/>
      <c r="L171" s="35"/>
      <c r="N171" s="35"/>
      <c r="O171" s="35"/>
      <c r="P171" s="35"/>
      <c r="Q171" s="35"/>
      <c r="R171" s="35"/>
      <c r="U171" s="85"/>
    </row>
    <row r="172" spans="1:21" s="24" customFormat="1" x14ac:dyDescent="0.25">
      <c r="A172" s="35"/>
      <c r="B172" s="35"/>
      <c r="F172" s="35"/>
      <c r="H172" s="35"/>
      <c r="J172" s="35"/>
      <c r="L172" s="35"/>
      <c r="N172" s="35"/>
      <c r="O172" s="35"/>
      <c r="P172" s="35"/>
      <c r="Q172" s="35"/>
      <c r="R172" s="35"/>
      <c r="U172" s="85"/>
    </row>
    <row r="173" spans="1:21" s="24" customFormat="1" x14ac:dyDescent="0.25">
      <c r="A173" s="35"/>
      <c r="B173" s="35"/>
      <c r="F173" s="35"/>
      <c r="H173" s="35"/>
      <c r="J173" s="35"/>
      <c r="L173" s="35"/>
      <c r="N173" s="35"/>
      <c r="O173" s="35"/>
      <c r="P173" s="35"/>
      <c r="Q173" s="35"/>
      <c r="R173" s="35"/>
      <c r="U173" s="85"/>
    </row>
    <row r="174" spans="1:21" s="24" customFormat="1" x14ac:dyDescent="0.25">
      <c r="A174" s="35"/>
      <c r="B174" s="35"/>
      <c r="F174" s="35"/>
      <c r="H174" s="35"/>
      <c r="J174" s="35"/>
      <c r="L174" s="35"/>
      <c r="N174" s="35"/>
      <c r="O174" s="35"/>
      <c r="P174" s="35"/>
      <c r="Q174" s="35"/>
      <c r="R174" s="35"/>
      <c r="U174" s="85"/>
    </row>
    <row r="175" spans="1:21" s="24" customFormat="1" x14ac:dyDescent="0.25">
      <c r="A175" s="35"/>
      <c r="B175" s="35"/>
      <c r="F175" s="35"/>
      <c r="H175" s="35"/>
      <c r="J175" s="35"/>
      <c r="L175" s="35"/>
      <c r="N175" s="35"/>
      <c r="O175" s="35"/>
      <c r="P175" s="35"/>
      <c r="Q175" s="35"/>
      <c r="R175" s="35"/>
      <c r="U175" s="85"/>
    </row>
    <row r="176" spans="1:21" s="24" customFormat="1" x14ac:dyDescent="0.25">
      <c r="A176" s="35"/>
      <c r="B176" s="35"/>
      <c r="F176" s="35"/>
      <c r="H176" s="35"/>
      <c r="J176" s="35"/>
      <c r="L176" s="35"/>
      <c r="N176" s="35"/>
      <c r="O176" s="35"/>
      <c r="P176" s="35"/>
      <c r="Q176" s="35"/>
      <c r="R176" s="35"/>
      <c r="U176" s="85"/>
    </row>
  </sheetData>
  <mergeCells count="10">
    <mergeCell ref="A152:U152"/>
    <mergeCell ref="A77:U77"/>
    <mergeCell ref="A78:U78"/>
    <mergeCell ref="A115:U115"/>
    <mergeCell ref="A151:U151"/>
    <mergeCell ref="A39:U39"/>
    <mergeCell ref="A40:U40"/>
    <mergeCell ref="A1:U1"/>
    <mergeCell ref="A2:U2"/>
    <mergeCell ref="A114:U114"/>
  </mergeCells>
  <phoneticPr fontId="2" type="noConversion"/>
  <printOptions horizontalCentered="1"/>
  <pageMargins left="0" right="0" top="0.5" bottom="0.5" header="0.5" footer="0.5"/>
  <pageSetup paperSize="9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4EB2-D0DE-44B0-9096-329F229C6EA2}">
  <dimension ref="A1:K326"/>
  <sheetViews>
    <sheetView tabSelected="1" topLeftCell="A284" workbookViewId="0">
      <selection activeCell="D293" sqref="D293"/>
    </sheetView>
  </sheetViews>
  <sheetFormatPr defaultRowHeight="13.2" x14ac:dyDescent="0.25"/>
  <cols>
    <col min="1" max="1" width="4.88671875" customWidth="1"/>
    <col min="2" max="2" width="21.88671875" customWidth="1"/>
    <col min="3" max="3" width="17.44140625" customWidth="1"/>
    <col min="4" max="4" width="36.44140625" customWidth="1"/>
    <col min="5" max="5" width="13.5546875" customWidth="1"/>
    <col min="6" max="6" width="50.6640625" customWidth="1"/>
    <col min="7" max="7" width="8.5546875" customWidth="1"/>
    <col min="8" max="8" width="19.88671875" customWidth="1"/>
    <col min="10" max="10" width="9.88671875" bestFit="1" customWidth="1"/>
  </cols>
  <sheetData>
    <row r="1" spans="1:6" ht="14.4" x14ac:dyDescent="0.3">
      <c r="A1" s="170" t="s">
        <v>363</v>
      </c>
      <c r="B1" s="170"/>
      <c r="E1" s="119"/>
    </row>
    <row r="2" spans="1:6" ht="14.4" x14ac:dyDescent="0.3">
      <c r="A2" s="120"/>
      <c r="B2" s="121"/>
      <c r="E2" s="119"/>
    </row>
    <row r="3" spans="1:6" ht="14.4" x14ac:dyDescent="0.3">
      <c r="A3" s="122" t="s">
        <v>364</v>
      </c>
      <c r="B3" s="121"/>
      <c r="E3" s="119"/>
    </row>
    <row r="4" spans="1:6" ht="14.4" x14ac:dyDescent="0.3">
      <c r="B4" s="121"/>
      <c r="E4" s="119"/>
    </row>
    <row r="5" spans="1:6" ht="14.4" x14ac:dyDescent="0.3">
      <c r="B5" s="121"/>
      <c r="E5" s="119"/>
    </row>
    <row r="6" spans="1:6" ht="14.4" x14ac:dyDescent="0.3">
      <c r="B6" s="121"/>
      <c r="E6" s="119"/>
    </row>
    <row r="7" spans="1:6" ht="14.4" x14ac:dyDescent="0.3">
      <c r="B7" s="121"/>
      <c r="E7" s="123"/>
    </row>
    <row r="8" spans="1:6" ht="21" x14ac:dyDescent="0.4">
      <c r="A8" s="171" t="s">
        <v>365</v>
      </c>
      <c r="B8" s="171"/>
      <c r="C8" s="171"/>
      <c r="D8" s="171"/>
      <c r="E8" s="171"/>
      <c r="F8" s="171"/>
    </row>
    <row r="9" spans="1:6" ht="14.4" x14ac:dyDescent="0.3">
      <c r="B9" s="121"/>
      <c r="E9" s="124"/>
    </row>
    <row r="10" spans="1:6" ht="13.8" x14ac:dyDescent="0.25">
      <c r="B10" s="121"/>
      <c r="E10" s="125" t="s">
        <v>366</v>
      </c>
    </row>
    <row r="11" spans="1:6" ht="13.8" x14ac:dyDescent="0.25">
      <c r="A11" s="126" t="s">
        <v>429</v>
      </c>
      <c r="B11" s="121"/>
      <c r="E11" s="125" t="s">
        <v>367</v>
      </c>
    </row>
    <row r="12" spans="1:6" ht="14.4" x14ac:dyDescent="0.3">
      <c r="A12" s="126" t="s">
        <v>368</v>
      </c>
      <c r="B12" s="121"/>
      <c r="E12" s="124"/>
    </row>
    <row r="13" spans="1:6" ht="14.4" x14ac:dyDescent="0.3">
      <c r="A13" s="126" t="s">
        <v>430</v>
      </c>
      <c r="B13" s="121"/>
      <c r="E13" s="124"/>
    </row>
    <row r="14" spans="1:6" ht="14.4" x14ac:dyDescent="0.3">
      <c r="A14" s="126" t="s">
        <v>431</v>
      </c>
      <c r="B14" s="121"/>
      <c r="E14" s="124"/>
    </row>
    <row r="15" spans="1:6" ht="14.4" x14ac:dyDescent="0.3">
      <c r="A15" s="126" t="s">
        <v>432</v>
      </c>
      <c r="B15" s="121"/>
      <c r="E15" s="124"/>
    </row>
    <row r="16" spans="1:6" ht="15.6" x14ac:dyDescent="0.3">
      <c r="A16" s="127" t="s">
        <v>530</v>
      </c>
      <c r="B16" s="128"/>
      <c r="D16" s="129"/>
      <c r="E16" s="123"/>
    </row>
    <row r="17" spans="1:10" ht="14.4" x14ac:dyDescent="0.3">
      <c r="A17" s="126"/>
      <c r="B17" s="128"/>
      <c r="D17" s="129"/>
      <c r="E17" s="123"/>
    </row>
    <row r="18" spans="1:10" ht="13.8" x14ac:dyDescent="0.25">
      <c r="A18" s="126" t="s">
        <v>414</v>
      </c>
      <c r="B18" s="130"/>
      <c r="D18" s="129"/>
      <c r="E18" s="131"/>
    </row>
    <row r="19" spans="1:10" ht="14.4" x14ac:dyDescent="0.3">
      <c r="A19" s="126" t="s">
        <v>482</v>
      </c>
      <c r="B19" s="128"/>
      <c r="D19" s="129"/>
      <c r="E19" s="123"/>
    </row>
    <row r="20" spans="1:10" ht="15.6" x14ac:dyDescent="0.3">
      <c r="A20" s="127" t="s">
        <v>481</v>
      </c>
      <c r="B20" s="128"/>
      <c r="D20" s="129"/>
      <c r="E20" s="123"/>
    </row>
    <row r="21" spans="1:10" ht="14.4" x14ac:dyDescent="0.3">
      <c r="A21" s="126"/>
      <c r="B21" s="128"/>
      <c r="D21" s="129"/>
      <c r="E21" s="123"/>
    </row>
    <row r="22" spans="1:10" ht="14.4" x14ac:dyDescent="0.3">
      <c r="A22" s="132"/>
      <c r="B22" s="133"/>
      <c r="D22" s="134"/>
      <c r="E22" s="123"/>
    </row>
    <row r="23" spans="1:10" ht="13.8" x14ac:dyDescent="0.25">
      <c r="A23" s="147" t="s">
        <v>369</v>
      </c>
      <c r="B23" s="147" t="s">
        <v>370</v>
      </c>
      <c r="C23" s="147" t="s">
        <v>371</v>
      </c>
      <c r="D23" s="147" t="s">
        <v>372</v>
      </c>
      <c r="E23" s="148" t="s">
        <v>373</v>
      </c>
      <c r="F23" s="147" t="s">
        <v>374</v>
      </c>
      <c r="G23" s="147" t="s">
        <v>375</v>
      </c>
      <c r="H23" s="147" t="s">
        <v>376</v>
      </c>
    </row>
    <row r="24" spans="1:10" ht="18" customHeight="1" x14ac:dyDescent="0.25">
      <c r="A24" s="145">
        <v>1</v>
      </c>
      <c r="B24" s="4" t="s">
        <v>166</v>
      </c>
      <c r="C24" s="5" t="s">
        <v>180</v>
      </c>
      <c r="D24" s="4" t="s">
        <v>22</v>
      </c>
      <c r="E24" s="6">
        <f>VLOOKUP(G24,Bright!$B$6:$V$26,21,FALSE)</f>
        <v>82748400</v>
      </c>
      <c r="F24" s="117" t="s">
        <v>531</v>
      </c>
      <c r="G24" s="3">
        <v>2114</v>
      </c>
      <c r="H24" s="4" t="s">
        <v>166</v>
      </c>
      <c r="J24" t="str">
        <f>LEFT(D24,6)</f>
        <v>Vietco</v>
      </c>
    </row>
    <row r="25" spans="1:10" ht="18" customHeight="1" x14ac:dyDescent="0.25">
      <c r="A25" s="146">
        <v>2</v>
      </c>
      <c r="B25" s="8" t="s">
        <v>167</v>
      </c>
      <c r="C25" s="10" t="s">
        <v>181</v>
      </c>
      <c r="D25" s="8" t="s">
        <v>182</v>
      </c>
      <c r="E25" s="7">
        <f>VLOOKUP(G25,Bright!$B$6:$V$26,21,FALSE)</f>
        <v>53543400</v>
      </c>
      <c r="F25" s="117" t="s">
        <v>531</v>
      </c>
      <c r="G25" s="9">
        <v>1613</v>
      </c>
      <c r="H25" s="8" t="s">
        <v>167</v>
      </c>
      <c r="J25" t="str">
        <f>LEFT(D25,6)</f>
        <v>Vietco</v>
      </c>
    </row>
    <row r="26" spans="1:10" ht="18" customHeight="1" x14ac:dyDescent="0.25">
      <c r="A26" s="146">
        <v>3</v>
      </c>
      <c r="B26" s="8" t="s">
        <v>168</v>
      </c>
      <c r="C26" s="10" t="s">
        <v>183</v>
      </c>
      <c r="D26" s="8" t="s">
        <v>184</v>
      </c>
      <c r="E26" s="7">
        <f>VLOOKUP(G26,Bright!$B$6:$V$26,21,FALSE)-E27</f>
        <v>23088400</v>
      </c>
      <c r="F26" s="117" t="s">
        <v>531</v>
      </c>
      <c r="G26" s="9">
        <v>1449</v>
      </c>
      <c r="H26" s="8" t="s">
        <v>168</v>
      </c>
      <c r="J26" t="str">
        <f>LEFT(D26,6)</f>
        <v>Vietco</v>
      </c>
    </row>
    <row r="27" spans="1:10" ht="18" customHeight="1" x14ac:dyDescent="0.3">
      <c r="A27" s="152">
        <v>4</v>
      </c>
      <c r="B27" s="153" t="s">
        <v>168</v>
      </c>
      <c r="C27" s="154" t="s">
        <v>185</v>
      </c>
      <c r="D27" s="153" t="s">
        <v>186</v>
      </c>
      <c r="E27" s="155">
        <v>10000000</v>
      </c>
      <c r="F27" s="156" t="s">
        <v>531</v>
      </c>
      <c r="G27" s="156">
        <v>1449</v>
      </c>
      <c r="H27" s="153" t="s">
        <v>168</v>
      </c>
      <c r="J27" t="str">
        <f>LEFT(D27,6)</f>
        <v>Vietin</v>
      </c>
    </row>
    <row r="28" spans="1:10" s="2" customFormat="1" ht="18" customHeight="1" x14ac:dyDescent="0.25">
      <c r="A28" s="146">
        <v>5</v>
      </c>
      <c r="B28" s="8" t="s">
        <v>445</v>
      </c>
      <c r="C28" s="9">
        <v>1045010100</v>
      </c>
      <c r="D28" s="8" t="s">
        <v>457</v>
      </c>
      <c r="E28" s="7">
        <f>VLOOKUP(G28,Bright!$B$6:$V$26,21,FALSE)</f>
        <v>29625900</v>
      </c>
      <c r="F28" s="117" t="s">
        <v>531</v>
      </c>
      <c r="G28" s="9">
        <v>3050</v>
      </c>
      <c r="H28" s="8" t="s">
        <v>445</v>
      </c>
      <c r="J28" t="str">
        <f>LEFT(D28,6)</f>
        <v>Vietco</v>
      </c>
    </row>
    <row r="29" spans="1:10" ht="18" customHeight="1" x14ac:dyDescent="0.25">
      <c r="A29" s="146">
        <v>6</v>
      </c>
      <c r="B29" s="8" t="s">
        <v>189</v>
      </c>
      <c r="C29" s="10" t="s">
        <v>187</v>
      </c>
      <c r="D29" s="8" t="s">
        <v>188</v>
      </c>
      <c r="E29" s="7">
        <f>VLOOKUP(G29,Bright!$B$6:$V$26,21,FALSE)</f>
        <v>72285900</v>
      </c>
      <c r="F29" s="117" t="s">
        <v>531</v>
      </c>
      <c r="G29" s="9">
        <v>1572</v>
      </c>
      <c r="H29" s="8" t="s">
        <v>169</v>
      </c>
      <c r="J29" t="str">
        <f>LEFT(D29,6)</f>
        <v>Vietco</v>
      </c>
    </row>
    <row r="30" spans="1:10" ht="18" customHeight="1" x14ac:dyDescent="0.25">
      <c r="A30" s="146">
        <v>7</v>
      </c>
      <c r="B30" s="8" t="s">
        <v>192</v>
      </c>
      <c r="C30" s="10" t="s">
        <v>190</v>
      </c>
      <c r="D30" s="8" t="s">
        <v>191</v>
      </c>
      <c r="E30" s="7">
        <f>VLOOKUP(G30,Bright!$B$6:$V$26,21,FALSE)</f>
        <v>53543400</v>
      </c>
      <c r="F30" s="117" t="s">
        <v>531</v>
      </c>
      <c r="G30" s="9">
        <v>1699</v>
      </c>
      <c r="H30" s="8" t="s">
        <v>170</v>
      </c>
      <c r="J30" t="str">
        <f>LEFT(D30,6)</f>
        <v>Techco</v>
      </c>
    </row>
    <row r="31" spans="1:10" ht="18" customHeight="1" x14ac:dyDescent="0.25">
      <c r="A31" s="146">
        <v>8</v>
      </c>
      <c r="B31" s="8" t="s">
        <v>454</v>
      </c>
      <c r="C31" s="10" t="s">
        <v>455</v>
      </c>
      <c r="D31" s="8" t="s">
        <v>456</v>
      </c>
      <c r="E31" s="7">
        <f>VLOOKUP(G31,Bright!$B$6:$V$26,21,FALSE)</f>
        <v>33088400</v>
      </c>
      <c r="F31" s="117" t="s">
        <v>531</v>
      </c>
      <c r="G31" s="9">
        <v>1137</v>
      </c>
      <c r="H31" s="8" t="s">
        <v>451</v>
      </c>
      <c r="J31" t="str">
        <f>LEFT(D31,6)</f>
        <v>Vietin</v>
      </c>
    </row>
    <row r="32" spans="1:10" ht="18" customHeight="1" x14ac:dyDescent="0.25">
      <c r="A32" s="146">
        <v>9</v>
      </c>
      <c r="B32" s="8" t="s">
        <v>177</v>
      </c>
      <c r="C32" s="10" t="s">
        <v>207</v>
      </c>
      <c r="D32" s="8" t="s">
        <v>208</v>
      </c>
      <c r="E32" s="7">
        <f>VLOOKUP(G32,Bright!$B$6:$V$26,21,FALSE)</f>
        <v>28275900</v>
      </c>
      <c r="F32" s="117" t="s">
        <v>531</v>
      </c>
      <c r="G32" s="9" t="s">
        <v>176</v>
      </c>
      <c r="H32" s="8" t="s">
        <v>177</v>
      </c>
      <c r="J32" t="str">
        <f>LEFT(D32,6)</f>
        <v>Vietco</v>
      </c>
    </row>
    <row r="33" spans="1:10" ht="18" customHeight="1" x14ac:dyDescent="0.25">
      <c r="A33" s="146">
        <v>10</v>
      </c>
      <c r="B33" s="8" t="s">
        <v>195</v>
      </c>
      <c r="C33" s="10" t="s">
        <v>193</v>
      </c>
      <c r="D33" s="8" t="s">
        <v>194</v>
      </c>
      <c r="E33" s="7">
        <f>VLOOKUP(G33,Bright!$B$6:$V$26,21,FALSE)</f>
        <v>24766700</v>
      </c>
      <c r="F33" s="117" t="s">
        <v>531</v>
      </c>
      <c r="G33" s="9">
        <v>1512</v>
      </c>
      <c r="H33" s="8" t="s">
        <v>171</v>
      </c>
      <c r="J33" t="str">
        <f>LEFT(D33,6)</f>
        <v>Agriba</v>
      </c>
    </row>
    <row r="34" spans="1:10" ht="18" customHeight="1" x14ac:dyDescent="0.25">
      <c r="A34" s="146">
        <v>11</v>
      </c>
      <c r="B34" s="8" t="s">
        <v>148</v>
      </c>
      <c r="C34" s="10" t="s">
        <v>260</v>
      </c>
      <c r="D34" s="8" t="s">
        <v>261</v>
      </c>
      <c r="E34" s="7">
        <f>VLOOKUP(G34,Bright!$B$6:$V$26,21,FALSE)</f>
        <v>19814200</v>
      </c>
      <c r="F34" s="117" t="s">
        <v>531</v>
      </c>
      <c r="G34" s="9">
        <v>2904</v>
      </c>
      <c r="H34" s="8" t="s">
        <v>239</v>
      </c>
      <c r="J34" t="str">
        <f>LEFT(D34,6)</f>
        <v>Coop B</v>
      </c>
    </row>
    <row r="35" spans="1:10" ht="18" customHeight="1" x14ac:dyDescent="0.25">
      <c r="A35" s="146">
        <v>12</v>
      </c>
      <c r="B35" s="8" t="s">
        <v>198</v>
      </c>
      <c r="C35" s="10" t="s">
        <v>196</v>
      </c>
      <c r="D35" s="135" t="s">
        <v>197</v>
      </c>
      <c r="E35" s="7">
        <f>VLOOKUP(G35,Bright!$B$6:$V$26,21,FALSE)</f>
        <v>19814200</v>
      </c>
      <c r="F35" s="117" t="s">
        <v>531</v>
      </c>
      <c r="G35" s="9">
        <v>2757</v>
      </c>
      <c r="H35" s="8" t="s">
        <v>172</v>
      </c>
      <c r="J35" t="str">
        <f>LEFT(D35,6)</f>
        <v>Vietin</v>
      </c>
    </row>
    <row r="36" spans="1:10" ht="18" customHeight="1" x14ac:dyDescent="0.25">
      <c r="A36" s="146">
        <v>13</v>
      </c>
      <c r="B36" s="8" t="s">
        <v>437</v>
      </c>
      <c r="C36" s="10" t="s">
        <v>438</v>
      </c>
      <c r="D36" s="8" t="s">
        <v>439</v>
      </c>
      <c r="E36" s="7">
        <f>VLOOKUP(G36,Bright!$B$6:$V$26,21,FALSE)</f>
        <v>19814200</v>
      </c>
      <c r="F36" s="117" t="s">
        <v>531</v>
      </c>
      <c r="G36" s="9">
        <v>2963</v>
      </c>
      <c r="H36" s="8" t="s">
        <v>435</v>
      </c>
      <c r="J36" t="str">
        <f>LEFT(D36,6)</f>
        <v xml:space="preserve">BIDV, </v>
      </c>
    </row>
    <row r="37" spans="1:10" ht="18" customHeight="1" x14ac:dyDescent="0.25">
      <c r="A37" s="146">
        <v>14</v>
      </c>
      <c r="B37" s="8" t="s">
        <v>205</v>
      </c>
      <c r="C37" s="10" t="s">
        <v>203</v>
      </c>
      <c r="D37" s="8" t="s">
        <v>204</v>
      </c>
      <c r="E37" s="7">
        <f>VLOOKUP(G37,Bright!$B$6:$V$26,21,FALSE)</f>
        <v>14814200</v>
      </c>
      <c r="F37" s="117" t="s">
        <v>531</v>
      </c>
      <c r="G37" s="9">
        <v>3032</v>
      </c>
      <c r="H37" s="8" t="s">
        <v>178</v>
      </c>
      <c r="J37" t="str">
        <f>LEFT(D37,6)</f>
        <v>MB Ban</v>
      </c>
    </row>
    <row r="38" spans="1:10" ht="18" customHeight="1" x14ac:dyDescent="0.25">
      <c r="A38" s="146">
        <v>15</v>
      </c>
      <c r="B38" s="8" t="s">
        <v>201</v>
      </c>
      <c r="C38" s="10" t="s">
        <v>199</v>
      </c>
      <c r="D38" s="8" t="s">
        <v>200</v>
      </c>
      <c r="E38" s="7">
        <f>VLOOKUP(G38,Bright!$B$6:$V$26,21,FALSE)</f>
        <v>19814200</v>
      </c>
      <c r="F38" s="117" t="s">
        <v>531</v>
      </c>
      <c r="G38" s="9">
        <v>2987</v>
      </c>
      <c r="H38" s="135" t="s">
        <v>179</v>
      </c>
      <c r="J38" t="str">
        <f>LEFT(D38,6)</f>
        <v xml:space="preserve">BIDV, </v>
      </c>
    </row>
    <row r="39" spans="1:10" ht="18" customHeight="1" x14ac:dyDescent="0.25">
      <c r="A39" s="146">
        <v>16</v>
      </c>
      <c r="B39" s="8" t="s">
        <v>458</v>
      </c>
      <c r="C39" s="10" t="s">
        <v>459</v>
      </c>
      <c r="D39" s="8" t="s">
        <v>460</v>
      </c>
      <c r="E39" s="7">
        <f>VLOOKUP(G39,Bright!$B$6:$V$26,21,FALSE)</f>
        <v>24766700</v>
      </c>
      <c r="F39" s="117" t="s">
        <v>531</v>
      </c>
      <c r="G39" s="9">
        <v>2826</v>
      </c>
      <c r="H39" s="8" t="s">
        <v>446</v>
      </c>
      <c r="J39" t="str">
        <f>LEFT(D39,6)</f>
        <v>Vietco</v>
      </c>
    </row>
    <row r="40" spans="1:10" ht="18" customHeight="1" x14ac:dyDescent="0.25">
      <c r="A40" s="146">
        <v>17</v>
      </c>
      <c r="B40" s="8" t="s">
        <v>174</v>
      </c>
      <c r="C40" s="10" t="s">
        <v>202</v>
      </c>
      <c r="D40" s="8" t="s">
        <v>206</v>
      </c>
      <c r="E40" s="7">
        <f>VLOOKUP(G40,Bright!$B$6:$V$26,21,FALSE)</f>
        <v>19814200</v>
      </c>
      <c r="F40" s="117" t="s">
        <v>531</v>
      </c>
      <c r="G40" s="9">
        <v>2813</v>
      </c>
      <c r="H40" s="8" t="s">
        <v>174</v>
      </c>
      <c r="J40" t="str">
        <f>LEFT(D40,6)</f>
        <v>MB Ban</v>
      </c>
    </row>
    <row r="41" spans="1:10" ht="18" customHeight="1" x14ac:dyDescent="0.25">
      <c r="A41" s="146">
        <v>18</v>
      </c>
      <c r="B41" s="8" t="s">
        <v>425</v>
      </c>
      <c r="C41" s="10" t="s">
        <v>539</v>
      </c>
      <c r="D41" s="8" t="s">
        <v>540</v>
      </c>
      <c r="E41" s="7">
        <f>VLOOKUP(G41,Bright!$B$6:$V$26,21,FALSE)</f>
        <v>19814200</v>
      </c>
      <c r="F41" s="117" t="s">
        <v>531</v>
      </c>
      <c r="G41" s="9">
        <v>2877</v>
      </c>
      <c r="H41" s="8" t="s">
        <v>425</v>
      </c>
      <c r="J41" t="str">
        <f>LEFT(D41,6)</f>
        <v>ACB, V</v>
      </c>
    </row>
    <row r="42" spans="1:10" ht="18" customHeight="1" x14ac:dyDescent="0.25">
      <c r="A42" s="146">
        <v>19</v>
      </c>
      <c r="B42" s="8" t="s">
        <v>440</v>
      </c>
      <c r="C42" s="10" t="s">
        <v>441</v>
      </c>
      <c r="D42" s="8" t="s">
        <v>442</v>
      </c>
      <c r="E42" s="7">
        <f>VLOOKUP(G42,Bright!$B$6:$V$26,21,FALSE)</f>
        <v>19814200</v>
      </c>
      <c r="F42" s="117" t="s">
        <v>531</v>
      </c>
      <c r="G42" s="9">
        <v>2796</v>
      </c>
      <c r="H42" s="8" t="s">
        <v>426</v>
      </c>
      <c r="J42" t="str">
        <f>LEFT(D42,6)</f>
        <v>Agriba</v>
      </c>
    </row>
    <row r="43" spans="1:10" ht="18" customHeight="1" x14ac:dyDescent="0.25">
      <c r="A43" s="146">
        <v>20</v>
      </c>
      <c r="B43" s="8" t="s">
        <v>221</v>
      </c>
      <c r="C43" s="10" t="s">
        <v>219</v>
      </c>
      <c r="D43" s="8" t="s">
        <v>220</v>
      </c>
      <c r="E43" s="7">
        <f>VLOOKUP(G43,Bright!$B$6:$V$26,21,FALSE)</f>
        <v>24766700</v>
      </c>
      <c r="F43" s="117" t="s">
        <v>531</v>
      </c>
      <c r="G43" s="9">
        <v>1756</v>
      </c>
      <c r="H43" s="8" t="s">
        <v>175</v>
      </c>
      <c r="J43" t="str">
        <f>LEFT(D43,6)</f>
        <v>MSB, c</v>
      </c>
    </row>
    <row r="44" spans="1:10" ht="18" customHeight="1" x14ac:dyDescent="0.25">
      <c r="A44" s="146">
        <v>21</v>
      </c>
      <c r="B44" s="8" t="s">
        <v>427</v>
      </c>
      <c r="C44" s="10" t="s">
        <v>443</v>
      </c>
      <c r="D44" s="8" t="s">
        <v>444</v>
      </c>
      <c r="E44" s="7">
        <f>VLOOKUP(G44,Bright!$B$6:$V$26,21,FALSE)</f>
        <v>13814200</v>
      </c>
      <c r="F44" s="117" t="s">
        <v>531</v>
      </c>
      <c r="G44" s="9">
        <v>3047</v>
      </c>
      <c r="H44" s="8" t="s">
        <v>427</v>
      </c>
      <c r="J44" t="str">
        <f>LEFT(D44,6)</f>
        <v>Techco</v>
      </c>
    </row>
    <row r="45" spans="1:10" ht="18" customHeight="1" x14ac:dyDescent="0.25">
      <c r="A45" s="146">
        <v>22</v>
      </c>
      <c r="B45" s="8" t="s">
        <v>241</v>
      </c>
      <c r="C45" s="10" t="s">
        <v>262</v>
      </c>
      <c r="D45" s="8" t="s">
        <v>263</v>
      </c>
      <c r="E45" s="7">
        <f>VLOOKUP(G45,Bright!$B$6:$V$26,21,FALSE)</f>
        <v>14814200</v>
      </c>
      <c r="F45" s="117" t="s">
        <v>531</v>
      </c>
      <c r="G45" s="9">
        <v>3036</v>
      </c>
      <c r="H45" s="8" t="s">
        <v>241</v>
      </c>
      <c r="J45" t="str">
        <f>LEFT(D45,6)</f>
        <v>MB Ban</v>
      </c>
    </row>
    <row r="46" spans="1:10" ht="21" customHeight="1" x14ac:dyDescent="0.3">
      <c r="A46" s="136"/>
      <c r="B46" s="173" t="s">
        <v>377</v>
      </c>
      <c r="C46" s="174"/>
      <c r="D46" s="175"/>
      <c r="E46" s="137">
        <f>SUM(E24:E45)</f>
        <v>642641800</v>
      </c>
      <c r="F46" s="136"/>
      <c r="G46" s="149"/>
      <c r="H46" s="149"/>
    </row>
    <row r="47" spans="1:10" ht="15.6" x14ac:dyDescent="0.3">
      <c r="B47" s="138"/>
      <c r="C47" s="138"/>
      <c r="D47" s="138"/>
      <c r="E47" s="139"/>
    </row>
    <row r="48" spans="1:10" ht="15" x14ac:dyDescent="0.3">
      <c r="A48" s="172" t="s">
        <v>378</v>
      </c>
      <c r="B48" s="172"/>
      <c r="C48" s="172"/>
      <c r="D48" s="172"/>
      <c r="E48" s="172"/>
      <c r="F48" s="172"/>
    </row>
    <row r="49" spans="1:6" ht="15.6" x14ac:dyDescent="0.3">
      <c r="A49" s="140"/>
      <c r="B49" s="140"/>
      <c r="C49" s="140"/>
      <c r="D49" s="140"/>
      <c r="E49" s="141"/>
      <c r="F49" s="140"/>
    </row>
    <row r="50" spans="1:6" ht="15.6" x14ac:dyDescent="0.3">
      <c r="B50" s="121"/>
      <c r="E50" s="142"/>
    </row>
    <row r="51" spans="1:6" ht="15.6" x14ac:dyDescent="0.3">
      <c r="A51" s="143"/>
      <c r="B51" s="150" t="s">
        <v>45</v>
      </c>
      <c r="D51" s="144" t="s">
        <v>47</v>
      </c>
      <c r="F51" s="144" t="s">
        <v>379</v>
      </c>
    </row>
    <row r="52" spans="1:6" ht="13.8" x14ac:dyDescent="0.25">
      <c r="A52" s="169"/>
      <c r="B52" s="169"/>
      <c r="C52" s="169"/>
      <c r="D52" s="169"/>
      <c r="E52" s="169"/>
      <c r="F52" s="169"/>
    </row>
    <row r="69" spans="1:6" ht="14.4" x14ac:dyDescent="0.3">
      <c r="A69" s="170" t="s">
        <v>363</v>
      </c>
      <c r="B69" s="170"/>
      <c r="E69" s="119"/>
    </row>
    <row r="70" spans="1:6" ht="14.4" x14ac:dyDescent="0.3">
      <c r="A70" s="120"/>
      <c r="B70" s="121"/>
      <c r="E70" s="119"/>
    </row>
    <row r="71" spans="1:6" ht="14.4" x14ac:dyDescent="0.3">
      <c r="A71" s="122" t="s">
        <v>364</v>
      </c>
      <c r="B71" s="121"/>
      <c r="E71" s="119"/>
    </row>
    <row r="72" spans="1:6" ht="14.4" x14ac:dyDescent="0.3">
      <c r="B72" s="121"/>
      <c r="E72" s="119"/>
    </row>
    <row r="73" spans="1:6" ht="14.4" x14ac:dyDescent="0.3">
      <c r="B73" s="121"/>
      <c r="E73" s="119"/>
    </row>
    <row r="74" spans="1:6" ht="14.4" x14ac:dyDescent="0.3">
      <c r="B74" s="121"/>
      <c r="E74" s="119"/>
    </row>
    <row r="75" spans="1:6" ht="14.4" x14ac:dyDescent="0.3">
      <c r="B75" s="121"/>
      <c r="E75" s="123"/>
    </row>
    <row r="76" spans="1:6" ht="21" x14ac:dyDescent="0.4">
      <c r="A76" s="171" t="s">
        <v>365</v>
      </c>
      <c r="B76" s="171"/>
      <c r="C76" s="171"/>
      <c r="D76" s="171"/>
      <c r="E76" s="171"/>
      <c r="F76" s="171"/>
    </row>
    <row r="77" spans="1:6" ht="14.4" x14ac:dyDescent="0.3">
      <c r="B77" s="121"/>
      <c r="E77" s="124"/>
    </row>
    <row r="78" spans="1:6" ht="13.8" x14ac:dyDescent="0.25">
      <c r="B78" s="121"/>
      <c r="E78" s="125" t="s">
        <v>366</v>
      </c>
    </row>
    <row r="79" spans="1:6" ht="13.8" x14ac:dyDescent="0.25">
      <c r="A79" s="126" t="s">
        <v>429</v>
      </c>
      <c r="B79" s="121"/>
      <c r="E79" s="125" t="s">
        <v>367</v>
      </c>
    </row>
    <row r="80" spans="1:6" ht="14.4" x14ac:dyDescent="0.3">
      <c r="A80" s="126" t="s">
        <v>433</v>
      </c>
      <c r="B80" s="121"/>
      <c r="E80" s="124"/>
    </row>
    <row r="81" spans="1:10" ht="14.4" x14ac:dyDescent="0.3">
      <c r="A81" s="126" t="s">
        <v>430</v>
      </c>
      <c r="B81" s="121"/>
      <c r="E81" s="124"/>
    </row>
    <row r="82" spans="1:10" ht="14.4" x14ac:dyDescent="0.3">
      <c r="A82" s="126" t="s">
        <v>431</v>
      </c>
      <c r="B82" s="121"/>
      <c r="E82" s="124"/>
    </row>
    <row r="83" spans="1:10" ht="14.4" x14ac:dyDescent="0.3">
      <c r="A83" s="126" t="s">
        <v>432</v>
      </c>
      <c r="B83" s="121"/>
      <c r="E83" s="124"/>
    </row>
    <row r="84" spans="1:10" ht="15.6" x14ac:dyDescent="0.3">
      <c r="A84" s="127" t="s">
        <v>532</v>
      </c>
      <c r="B84" s="128"/>
      <c r="D84" s="129"/>
      <c r="E84" s="123"/>
    </row>
    <row r="85" spans="1:10" ht="14.4" x14ac:dyDescent="0.3">
      <c r="A85" s="126"/>
      <c r="B85" s="128"/>
      <c r="D85" s="129"/>
      <c r="E85" s="123"/>
    </row>
    <row r="86" spans="1:10" ht="13.8" x14ac:dyDescent="0.25">
      <c r="A86" s="126" t="s">
        <v>550</v>
      </c>
      <c r="B86" s="130"/>
      <c r="D86" s="129"/>
      <c r="E86" s="131"/>
    </row>
    <row r="87" spans="1:10" ht="14.4" x14ac:dyDescent="0.3">
      <c r="A87" s="126" t="s">
        <v>483</v>
      </c>
      <c r="B87" s="128"/>
      <c r="D87" s="129"/>
      <c r="E87" s="123"/>
    </row>
    <row r="88" spans="1:10" ht="15.6" x14ac:dyDescent="0.3">
      <c r="A88" s="127" t="s">
        <v>484</v>
      </c>
      <c r="B88" s="128"/>
      <c r="D88" s="129"/>
      <c r="E88" s="123"/>
    </row>
    <row r="89" spans="1:10" ht="14.4" x14ac:dyDescent="0.3">
      <c r="A89" s="126"/>
      <c r="B89" s="128"/>
      <c r="D89" s="129"/>
      <c r="E89" s="123"/>
    </row>
    <row r="90" spans="1:10" ht="14.4" x14ac:dyDescent="0.3">
      <c r="A90" s="132"/>
      <c r="B90" s="133"/>
      <c r="D90" s="134"/>
      <c r="E90" s="123"/>
    </row>
    <row r="91" spans="1:10" ht="13.8" x14ac:dyDescent="0.25">
      <c r="A91" s="147" t="s">
        <v>369</v>
      </c>
      <c r="B91" s="147" t="s">
        <v>370</v>
      </c>
      <c r="C91" s="147" t="s">
        <v>371</v>
      </c>
      <c r="D91" s="147" t="s">
        <v>372</v>
      </c>
      <c r="E91" s="148" t="s">
        <v>373</v>
      </c>
      <c r="F91" s="147" t="s">
        <v>374</v>
      </c>
      <c r="G91" s="147" t="s">
        <v>375</v>
      </c>
      <c r="H91" s="147" t="s">
        <v>376</v>
      </c>
    </row>
    <row r="92" spans="1:10" ht="18" customHeight="1" x14ac:dyDescent="0.25">
      <c r="A92" s="146">
        <v>1</v>
      </c>
      <c r="B92" s="4" t="s">
        <v>351</v>
      </c>
      <c r="C92" s="5" t="s">
        <v>382</v>
      </c>
      <c r="D92" s="4" t="s">
        <v>383</v>
      </c>
      <c r="E92" s="6">
        <f>VLOOKUP(G92,Harmony!$B$6:$X$24,23,FALSE)</f>
        <v>107628400</v>
      </c>
      <c r="F92" s="117" t="s">
        <v>533</v>
      </c>
      <c r="G92" s="3">
        <v>1003</v>
      </c>
      <c r="H92" s="4" t="s">
        <v>351</v>
      </c>
      <c r="J92" t="str">
        <f t="shared" ref="J92:J110" si="0">LEFT(D92,6)</f>
        <v>Agriba</v>
      </c>
    </row>
    <row r="93" spans="1:10" ht="18" customHeight="1" x14ac:dyDescent="0.25">
      <c r="A93" s="146">
        <v>2</v>
      </c>
      <c r="B93" s="8" t="s">
        <v>384</v>
      </c>
      <c r="C93" s="10" t="s">
        <v>385</v>
      </c>
      <c r="D93" s="8" t="s">
        <v>386</v>
      </c>
      <c r="E93" s="7">
        <f>VLOOKUP(G93,Harmony!$B$6:$X$24,23,FALSE)</f>
        <v>70213400</v>
      </c>
      <c r="F93" s="9" t="s">
        <v>533</v>
      </c>
      <c r="G93" s="9">
        <v>1857</v>
      </c>
      <c r="H93" s="8" t="s">
        <v>352</v>
      </c>
      <c r="J93" t="str">
        <f t="shared" si="0"/>
        <v xml:space="preserve">BIDV, </v>
      </c>
    </row>
    <row r="94" spans="1:10" ht="18" customHeight="1" x14ac:dyDescent="0.25">
      <c r="A94" s="146">
        <v>3</v>
      </c>
      <c r="B94" s="8" t="s">
        <v>266</v>
      </c>
      <c r="C94" s="10" t="s">
        <v>264</v>
      </c>
      <c r="D94" s="8" t="s">
        <v>265</v>
      </c>
      <c r="E94" s="7">
        <f>VLOOKUP(G94,Harmony!$B$6:$X$24,23,FALSE)</f>
        <v>44008400</v>
      </c>
      <c r="F94" s="9" t="s">
        <v>533</v>
      </c>
      <c r="G94" s="9">
        <v>3006</v>
      </c>
      <c r="H94" s="8" t="s">
        <v>242</v>
      </c>
      <c r="J94" t="str">
        <f t="shared" si="0"/>
        <v>Vietco</v>
      </c>
    </row>
    <row r="95" spans="1:10" ht="18" customHeight="1" x14ac:dyDescent="0.25">
      <c r="A95" s="146">
        <v>4</v>
      </c>
      <c r="B95" s="8" t="s">
        <v>395</v>
      </c>
      <c r="C95" s="10" t="s">
        <v>396</v>
      </c>
      <c r="D95" s="8" t="s">
        <v>397</v>
      </c>
      <c r="E95" s="7">
        <f>VLOOKUP(G95,Harmony!$B$6:$X$24,23,FALSE)</f>
        <v>39555900</v>
      </c>
      <c r="F95" s="117" t="s">
        <v>533</v>
      </c>
      <c r="G95" s="9">
        <v>1853</v>
      </c>
      <c r="H95" s="8" t="s">
        <v>380</v>
      </c>
      <c r="J95" t="str">
        <f t="shared" si="0"/>
        <v>Agriba</v>
      </c>
    </row>
    <row r="96" spans="1:10" ht="18" customHeight="1" x14ac:dyDescent="0.25">
      <c r="A96" s="146">
        <v>5</v>
      </c>
      <c r="B96" s="8" t="s">
        <v>353</v>
      </c>
      <c r="C96" s="10" t="s">
        <v>387</v>
      </c>
      <c r="D96" s="8" t="s">
        <v>388</v>
      </c>
      <c r="E96" s="7">
        <f>VLOOKUP(G96,Harmony!$B$6:$X$24,23,FALSE)</f>
        <v>94275900</v>
      </c>
      <c r="F96" s="9" t="s">
        <v>533</v>
      </c>
      <c r="G96" s="9">
        <v>744</v>
      </c>
      <c r="H96" s="8" t="s">
        <v>353</v>
      </c>
      <c r="J96" t="str">
        <f t="shared" si="0"/>
        <v xml:space="preserve">BIDV, </v>
      </c>
    </row>
    <row r="97" spans="1:10" ht="18" customHeight="1" x14ac:dyDescent="0.25">
      <c r="A97" s="146">
        <v>6</v>
      </c>
      <c r="B97" s="8" t="s">
        <v>269</v>
      </c>
      <c r="C97" s="10" t="s">
        <v>267</v>
      </c>
      <c r="D97" s="8" t="s">
        <v>268</v>
      </c>
      <c r="E97" s="7">
        <f>VLOOKUP(G97,Harmony!$B$6:$X$24,23,FALSE)</f>
        <v>70213400</v>
      </c>
      <c r="F97" s="117" t="s">
        <v>533</v>
      </c>
      <c r="G97" s="9">
        <v>1565</v>
      </c>
      <c r="H97" s="8" t="s">
        <v>243</v>
      </c>
      <c r="J97" t="str">
        <f t="shared" si="0"/>
        <v>Techco</v>
      </c>
    </row>
    <row r="98" spans="1:10" ht="18" customHeight="1" x14ac:dyDescent="0.25">
      <c r="A98" s="146">
        <v>7</v>
      </c>
      <c r="B98" s="8" t="s">
        <v>354</v>
      </c>
      <c r="C98" s="10" t="s">
        <v>389</v>
      </c>
      <c r="D98" s="8" t="s">
        <v>390</v>
      </c>
      <c r="E98" s="7">
        <f>VLOOKUP(G98,Harmony!$B$6:$X$24,23,FALSE)</f>
        <v>44008400</v>
      </c>
      <c r="F98" s="9" t="s">
        <v>533</v>
      </c>
      <c r="G98" s="9">
        <v>2920</v>
      </c>
      <c r="H98" s="8" t="s">
        <v>354</v>
      </c>
      <c r="J98" t="str">
        <f t="shared" si="0"/>
        <v xml:space="preserve">BIDV, </v>
      </c>
    </row>
    <row r="99" spans="1:10" ht="18" customHeight="1" x14ac:dyDescent="0.25">
      <c r="A99" s="146">
        <v>8</v>
      </c>
      <c r="B99" s="8" t="s">
        <v>244</v>
      </c>
      <c r="C99" s="10" t="s">
        <v>270</v>
      </c>
      <c r="D99" s="8" t="s">
        <v>182</v>
      </c>
      <c r="E99" s="7">
        <f>VLOOKUP(G99,Harmony!$B$6:$X$24,23,FALSE)</f>
        <v>39555900</v>
      </c>
      <c r="F99" s="117" t="s">
        <v>533</v>
      </c>
      <c r="G99" s="9">
        <v>2690</v>
      </c>
      <c r="H99" s="8" t="s">
        <v>244</v>
      </c>
      <c r="J99" t="str">
        <f t="shared" si="0"/>
        <v>Vietco</v>
      </c>
    </row>
    <row r="100" spans="1:10" ht="18" customHeight="1" x14ac:dyDescent="0.25">
      <c r="A100" s="146">
        <v>9</v>
      </c>
      <c r="B100" s="8" t="s">
        <v>355</v>
      </c>
      <c r="C100" s="10" t="s">
        <v>391</v>
      </c>
      <c r="D100" s="8" t="s">
        <v>392</v>
      </c>
      <c r="E100" s="7">
        <f>VLOOKUP(G100,Harmony!$B$6:$X$24,23,FALSE)</f>
        <v>31766700</v>
      </c>
      <c r="F100" s="9" t="s">
        <v>533</v>
      </c>
      <c r="G100" s="9">
        <v>1440</v>
      </c>
      <c r="H100" s="8" t="s">
        <v>355</v>
      </c>
      <c r="J100" t="str">
        <f t="shared" si="0"/>
        <v xml:space="preserve">NH Cổ </v>
      </c>
    </row>
    <row r="101" spans="1:10" ht="18" customHeight="1" x14ac:dyDescent="0.25">
      <c r="A101" s="146">
        <v>10</v>
      </c>
      <c r="B101" s="8" t="s">
        <v>393</v>
      </c>
      <c r="C101" s="10" t="s">
        <v>394</v>
      </c>
      <c r="D101" s="8" t="s">
        <v>136</v>
      </c>
      <c r="E101" s="7">
        <f>VLOOKUP(G101,Harmony!$B$6:$X$24,23,FALSE)</f>
        <v>24514200</v>
      </c>
      <c r="F101" s="117" t="s">
        <v>533</v>
      </c>
      <c r="G101" s="9">
        <v>2782</v>
      </c>
      <c r="H101" s="8" t="s">
        <v>356</v>
      </c>
      <c r="J101" t="str">
        <f t="shared" si="0"/>
        <v>Agriba</v>
      </c>
    </row>
    <row r="102" spans="1:10" ht="18" customHeight="1" x14ac:dyDescent="0.25">
      <c r="A102" s="146">
        <v>11</v>
      </c>
      <c r="B102" s="8" t="s">
        <v>398</v>
      </c>
      <c r="C102" s="10" t="s">
        <v>399</v>
      </c>
      <c r="D102" s="8" t="s">
        <v>400</v>
      </c>
      <c r="E102" s="7">
        <f>VLOOKUP(G102,Harmony!$B$6:$X$24,23,FALSE)</f>
        <v>24514200</v>
      </c>
      <c r="F102" s="9" t="s">
        <v>533</v>
      </c>
      <c r="G102" s="9">
        <v>2872</v>
      </c>
      <c r="H102" s="8" t="s">
        <v>357</v>
      </c>
      <c r="J102" t="str">
        <f t="shared" si="0"/>
        <v>Vietin</v>
      </c>
    </row>
    <row r="103" spans="1:10" ht="18" customHeight="1" x14ac:dyDescent="0.25">
      <c r="A103" s="146">
        <v>12</v>
      </c>
      <c r="B103" s="8" t="s">
        <v>360</v>
      </c>
      <c r="C103" s="10" t="s">
        <v>403</v>
      </c>
      <c r="D103" s="8" t="s">
        <v>404</v>
      </c>
      <c r="E103" s="7">
        <f>VLOOKUP(G103,Harmony!$B$6:$X$24,23,FALSE)</f>
        <v>24514200</v>
      </c>
      <c r="F103" s="117" t="s">
        <v>533</v>
      </c>
      <c r="G103" s="9">
        <v>2538</v>
      </c>
      <c r="H103" s="8" t="s">
        <v>360</v>
      </c>
      <c r="J103" t="str">
        <f t="shared" si="0"/>
        <v>ACB, T</v>
      </c>
    </row>
    <row r="104" spans="1:10" ht="18" customHeight="1" x14ac:dyDescent="0.25">
      <c r="A104" s="146">
        <v>13</v>
      </c>
      <c r="B104" s="8" t="s">
        <v>381</v>
      </c>
      <c r="C104" s="10" t="s">
        <v>401</v>
      </c>
      <c r="D104" s="135" t="s">
        <v>402</v>
      </c>
      <c r="E104" s="7">
        <f>VLOOKUP(G104,Harmony!$B$6:$X$24,23,FALSE)</f>
        <v>18514200</v>
      </c>
      <c r="F104" s="9" t="s">
        <v>533</v>
      </c>
      <c r="G104" s="9">
        <v>3041</v>
      </c>
      <c r="H104" s="8" t="s">
        <v>381</v>
      </c>
      <c r="J104" t="str">
        <f t="shared" si="0"/>
        <v>Techco</v>
      </c>
    </row>
    <row r="105" spans="1:10" ht="18" customHeight="1" x14ac:dyDescent="0.25">
      <c r="A105" s="146">
        <v>14</v>
      </c>
      <c r="B105" s="8" t="s">
        <v>245</v>
      </c>
      <c r="C105" s="10" t="s">
        <v>271</v>
      </c>
      <c r="D105" s="8" t="s">
        <v>272</v>
      </c>
      <c r="E105" s="7">
        <f>VLOOKUP(G105,Harmony!$B$6:$X$24,23,FALSE)</f>
        <v>31766700</v>
      </c>
      <c r="F105" s="117" t="s">
        <v>533</v>
      </c>
      <c r="G105" s="9">
        <v>1375</v>
      </c>
      <c r="H105" s="8" t="s">
        <v>245</v>
      </c>
      <c r="J105" t="str">
        <f t="shared" si="0"/>
        <v>Agriba</v>
      </c>
    </row>
    <row r="106" spans="1:10" ht="18" customHeight="1" x14ac:dyDescent="0.25">
      <c r="A106" s="146">
        <v>15</v>
      </c>
      <c r="B106" s="8" t="s">
        <v>361</v>
      </c>
      <c r="C106" s="10" t="s">
        <v>405</v>
      </c>
      <c r="D106" s="8" t="s">
        <v>406</v>
      </c>
      <c r="E106" s="7">
        <f>VLOOKUP(G106,Harmony!$B$6:$X$24,23,FALSE)</f>
        <v>24514200</v>
      </c>
      <c r="F106" s="9" t="s">
        <v>533</v>
      </c>
      <c r="G106" s="9">
        <v>2706</v>
      </c>
      <c r="H106" s="8" t="s">
        <v>361</v>
      </c>
      <c r="J106" t="str">
        <f t="shared" si="0"/>
        <v>Vietin</v>
      </c>
    </row>
    <row r="107" spans="1:10" ht="18" customHeight="1" x14ac:dyDescent="0.25">
      <c r="A107" s="146">
        <v>16</v>
      </c>
      <c r="B107" s="8" t="s">
        <v>100</v>
      </c>
      <c r="C107" s="10" t="s">
        <v>273</v>
      </c>
      <c r="D107" s="8" t="s">
        <v>274</v>
      </c>
      <c r="E107" s="7">
        <f>VLOOKUP(G107,Harmony!$B$6:$X$24,23,FALSE)</f>
        <v>24514200</v>
      </c>
      <c r="F107" s="117" t="s">
        <v>533</v>
      </c>
      <c r="G107" s="9">
        <v>2547</v>
      </c>
      <c r="H107" s="8" t="s">
        <v>100</v>
      </c>
      <c r="J107" t="str">
        <f t="shared" si="0"/>
        <v>Vietco</v>
      </c>
    </row>
    <row r="108" spans="1:10" ht="18" customHeight="1" x14ac:dyDescent="0.25">
      <c r="A108" s="146">
        <v>17</v>
      </c>
      <c r="B108" s="8" t="s">
        <v>246</v>
      </c>
      <c r="C108" s="10" t="s">
        <v>275</v>
      </c>
      <c r="D108" s="8" t="s">
        <v>276</v>
      </c>
      <c r="E108" s="7">
        <f>VLOOKUP(G108,Harmony!$B$6:$X$24,23,FALSE)</f>
        <v>24514200</v>
      </c>
      <c r="F108" s="9" t="s">
        <v>533</v>
      </c>
      <c r="G108" s="9">
        <v>2760</v>
      </c>
      <c r="H108" s="8" t="s">
        <v>246</v>
      </c>
      <c r="J108" t="str">
        <f t="shared" si="0"/>
        <v>Techco</v>
      </c>
    </row>
    <row r="109" spans="1:10" ht="18" customHeight="1" x14ac:dyDescent="0.25">
      <c r="A109" s="146">
        <v>18</v>
      </c>
      <c r="B109" s="8" t="s">
        <v>362</v>
      </c>
      <c r="C109" s="10" t="s">
        <v>407</v>
      </c>
      <c r="D109" s="8" t="s">
        <v>408</v>
      </c>
      <c r="E109" s="7">
        <f>VLOOKUP(G109,Harmony!$B$6:$X$24,23,FALSE)</f>
        <v>30566700</v>
      </c>
      <c r="F109" s="117" t="s">
        <v>533</v>
      </c>
      <c r="G109" s="9">
        <v>2095</v>
      </c>
      <c r="H109" s="8" t="s">
        <v>362</v>
      </c>
      <c r="J109" t="str">
        <f t="shared" si="0"/>
        <v>Agriba</v>
      </c>
    </row>
    <row r="110" spans="1:10" ht="18" customHeight="1" x14ac:dyDescent="0.25">
      <c r="A110" s="146">
        <v>19</v>
      </c>
      <c r="B110" s="4" t="s">
        <v>247</v>
      </c>
      <c r="C110" s="5" t="s">
        <v>277</v>
      </c>
      <c r="D110" s="4" t="s">
        <v>278</v>
      </c>
      <c r="E110" s="6">
        <f>VLOOKUP(G110,Harmony!$B$6:$X$24,23,FALSE)</f>
        <v>17314200</v>
      </c>
      <c r="F110" s="9" t="s">
        <v>533</v>
      </c>
      <c r="G110" s="3">
        <v>2457</v>
      </c>
      <c r="H110" s="4" t="s">
        <v>247</v>
      </c>
      <c r="J110" t="str">
        <f t="shared" si="0"/>
        <v>Agriba</v>
      </c>
    </row>
    <row r="111" spans="1:10" ht="21" customHeight="1" x14ac:dyDescent="0.3">
      <c r="A111" s="136"/>
      <c r="B111" s="173" t="s">
        <v>377</v>
      </c>
      <c r="C111" s="174"/>
      <c r="D111" s="175"/>
      <c r="E111" s="137">
        <f>SUM(E92:E110)</f>
        <v>786473400</v>
      </c>
      <c r="F111" s="136"/>
      <c r="G111" s="149"/>
      <c r="H111" s="149"/>
    </row>
    <row r="112" spans="1:10" ht="15.6" x14ac:dyDescent="0.3">
      <c r="B112" s="138"/>
      <c r="C112" s="138"/>
      <c r="D112" s="138"/>
      <c r="E112" s="139"/>
    </row>
    <row r="113" spans="1:6" ht="15" x14ac:dyDescent="0.3">
      <c r="A113" s="172" t="s">
        <v>378</v>
      </c>
      <c r="B113" s="172"/>
      <c r="C113" s="172"/>
      <c r="D113" s="172"/>
      <c r="E113" s="172"/>
      <c r="F113" s="172"/>
    </row>
    <row r="114" spans="1:6" ht="15.6" x14ac:dyDescent="0.3">
      <c r="A114" s="140"/>
      <c r="B114" s="140"/>
      <c r="C114" s="140"/>
      <c r="D114" s="140"/>
      <c r="E114" s="141"/>
      <c r="F114" s="140"/>
    </row>
    <row r="115" spans="1:6" ht="15.6" x14ac:dyDescent="0.3">
      <c r="B115" s="121"/>
      <c r="E115" s="142"/>
    </row>
    <row r="116" spans="1:6" ht="15.6" x14ac:dyDescent="0.3">
      <c r="A116" s="143"/>
      <c r="B116" s="150" t="s">
        <v>45</v>
      </c>
      <c r="D116" s="144" t="s">
        <v>47</v>
      </c>
      <c r="F116" s="144" t="s">
        <v>379</v>
      </c>
    </row>
    <row r="117" spans="1:6" ht="13.8" x14ac:dyDescent="0.25">
      <c r="A117" s="169"/>
      <c r="B117" s="169"/>
      <c r="C117" s="169"/>
      <c r="D117" s="169"/>
      <c r="E117" s="169"/>
      <c r="F117" s="169"/>
    </row>
    <row r="118" spans="1:6" ht="13.8" x14ac:dyDescent="0.25">
      <c r="A118" s="151"/>
      <c r="B118" s="151"/>
      <c r="C118" s="151"/>
      <c r="D118" s="151"/>
      <c r="E118" s="151"/>
      <c r="F118" s="151"/>
    </row>
    <row r="119" spans="1:6" ht="13.8" x14ac:dyDescent="0.25">
      <c r="A119" s="151"/>
      <c r="B119" s="151"/>
      <c r="C119" s="151"/>
      <c r="D119" s="151"/>
      <c r="E119" s="151"/>
      <c r="F119" s="151"/>
    </row>
    <row r="120" spans="1:6" ht="13.8" x14ac:dyDescent="0.25">
      <c r="A120" s="151"/>
      <c r="B120" s="151"/>
      <c r="C120" s="151"/>
      <c r="D120" s="151"/>
      <c r="E120" s="151"/>
      <c r="F120" s="151"/>
    </row>
    <row r="121" spans="1:6" ht="13.8" x14ac:dyDescent="0.25">
      <c r="A121" s="151"/>
      <c r="B121" s="151"/>
      <c r="C121" s="151"/>
      <c r="D121" s="151"/>
      <c r="E121" s="151"/>
      <c r="F121" s="151"/>
    </row>
    <row r="122" spans="1:6" ht="13.8" x14ac:dyDescent="0.25">
      <c r="A122" s="151"/>
      <c r="B122" s="151"/>
      <c r="C122" s="151"/>
      <c r="D122" s="151"/>
      <c r="E122" s="151"/>
      <c r="F122" s="151"/>
    </row>
    <row r="123" spans="1:6" ht="13.8" x14ac:dyDescent="0.25">
      <c r="A123" s="151"/>
      <c r="B123" s="151"/>
      <c r="C123" s="151"/>
      <c r="D123" s="151"/>
      <c r="E123" s="151"/>
      <c r="F123" s="151"/>
    </row>
    <row r="124" spans="1:6" ht="13.8" x14ac:dyDescent="0.25">
      <c r="A124" s="151"/>
      <c r="B124" s="151"/>
      <c r="C124" s="151"/>
      <c r="D124" s="151"/>
      <c r="E124" s="151"/>
      <c r="F124" s="151"/>
    </row>
    <row r="125" spans="1:6" ht="13.8" x14ac:dyDescent="0.25">
      <c r="A125" s="151"/>
      <c r="B125" s="151"/>
      <c r="C125" s="151"/>
      <c r="D125" s="151"/>
      <c r="E125" s="151"/>
      <c r="F125" s="151"/>
    </row>
    <row r="126" spans="1:6" ht="13.8" x14ac:dyDescent="0.25">
      <c r="A126" s="151"/>
      <c r="B126" s="151"/>
      <c r="C126" s="151"/>
      <c r="D126" s="151"/>
      <c r="E126" s="151"/>
      <c r="F126" s="151"/>
    </row>
    <row r="127" spans="1:6" ht="13.8" x14ac:dyDescent="0.25">
      <c r="A127" s="151"/>
      <c r="B127" s="151"/>
      <c r="C127" s="151"/>
      <c r="D127" s="151"/>
      <c r="E127" s="151"/>
      <c r="F127" s="151"/>
    </row>
    <row r="128" spans="1:6" ht="13.8" x14ac:dyDescent="0.25">
      <c r="A128" s="151"/>
      <c r="B128" s="151"/>
      <c r="C128" s="151"/>
      <c r="D128" s="151"/>
      <c r="E128" s="151"/>
      <c r="F128" s="151"/>
    </row>
    <row r="129" spans="1:6" ht="13.8" x14ac:dyDescent="0.25">
      <c r="A129" s="151"/>
      <c r="B129" s="151"/>
      <c r="C129" s="151"/>
      <c r="D129" s="151"/>
      <c r="E129" s="151"/>
      <c r="F129" s="151"/>
    </row>
    <row r="130" spans="1:6" ht="13.8" x14ac:dyDescent="0.25">
      <c r="A130" s="151"/>
      <c r="B130" s="151"/>
      <c r="C130" s="151"/>
      <c r="D130" s="151"/>
      <c r="E130" s="151"/>
      <c r="F130" s="151"/>
    </row>
    <row r="131" spans="1:6" ht="13.8" x14ac:dyDescent="0.25">
      <c r="A131" s="151"/>
      <c r="B131" s="151"/>
      <c r="C131" s="151"/>
      <c r="D131" s="151"/>
      <c r="E131" s="151"/>
      <c r="F131" s="151"/>
    </row>
    <row r="132" spans="1:6" ht="13.8" x14ac:dyDescent="0.25">
      <c r="A132" s="151"/>
      <c r="B132" s="151"/>
      <c r="C132" s="151"/>
      <c r="D132" s="151"/>
      <c r="E132" s="151"/>
      <c r="F132" s="151"/>
    </row>
    <row r="133" spans="1:6" ht="13.8" x14ac:dyDescent="0.25">
      <c r="A133" s="151"/>
      <c r="B133" s="151"/>
      <c r="C133" s="151"/>
      <c r="D133" s="151"/>
      <c r="E133" s="151"/>
      <c r="F133" s="151"/>
    </row>
    <row r="134" spans="1:6" ht="14.4" x14ac:dyDescent="0.3">
      <c r="A134" s="170" t="s">
        <v>363</v>
      </c>
      <c r="B134" s="170"/>
      <c r="E134" s="119"/>
    </row>
    <row r="135" spans="1:6" ht="14.4" x14ac:dyDescent="0.3">
      <c r="A135" s="120"/>
      <c r="B135" s="121"/>
      <c r="E135" s="119"/>
    </row>
    <row r="136" spans="1:6" ht="14.4" x14ac:dyDescent="0.3">
      <c r="A136" s="122" t="s">
        <v>364</v>
      </c>
      <c r="B136" s="121"/>
      <c r="E136" s="119"/>
    </row>
    <row r="137" spans="1:6" ht="14.4" x14ac:dyDescent="0.3">
      <c r="B137" s="121"/>
      <c r="E137" s="119"/>
    </row>
    <row r="138" spans="1:6" ht="14.4" x14ac:dyDescent="0.3">
      <c r="B138" s="121"/>
      <c r="E138" s="119"/>
    </row>
    <row r="139" spans="1:6" ht="14.4" x14ac:dyDescent="0.3">
      <c r="B139" s="121"/>
      <c r="E139" s="119"/>
    </row>
    <row r="140" spans="1:6" ht="14.4" x14ac:dyDescent="0.3">
      <c r="B140" s="121"/>
      <c r="E140" s="123"/>
    </row>
    <row r="141" spans="1:6" ht="21" x14ac:dyDescent="0.4">
      <c r="A141" s="171" t="s">
        <v>365</v>
      </c>
      <c r="B141" s="171"/>
      <c r="C141" s="171"/>
      <c r="D141" s="171"/>
      <c r="E141" s="171"/>
      <c r="F141" s="171"/>
    </row>
    <row r="142" spans="1:6" ht="14.4" x14ac:dyDescent="0.3">
      <c r="B142" s="121"/>
      <c r="E142" s="124"/>
    </row>
    <row r="143" spans="1:6" ht="13.8" x14ac:dyDescent="0.25">
      <c r="B143" s="121"/>
      <c r="E143" s="125" t="s">
        <v>366</v>
      </c>
    </row>
    <row r="144" spans="1:6" ht="13.8" x14ac:dyDescent="0.25">
      <c r="A144" s="126" t="s">
        <v>429</v>
      </c>
      <c r="B144" s="121"/>
      <c r="E144" s="125" t="s">
        <v>367</v>
      </c>
    </row>
    <row r="145" spans="1:11" ht="14.4" x14ac:dyDescent="0.3">
      <c r="A145" s="126" t="s">
        <v>433</v>
      </c>
      <c r="B145" s="121"/>
      <c r="E145" s="124"/>
    </row>
    <row r="146" spans="1:11" ht="14.4" x14ac:dyDescent="0.3">
      <c r="A146" s="126" t="s">
        <v>430</v>
      </c>
      <c r="B146" s="121"/>
      <c r="E146" s="124"/>
    </row>
    <row r="147" spans="1:11" ht="14.4" x14ac:dyDescent="0.3">
      <c r="A147" s="126" t="s">
        <v>431</v>
      </c>
      <c r="B147" s="121"/>
      <c r="E147" s="124"/>
    </row>
    <row r="148" spans="1:11" ht="14.4" x14ac:dyDescent="0.3">
      <c r="A148" s="126" t="s">
        <v>432</v>
      </c>
      <c r="B148" s="121"/>
      <c r="E148" s="124"/>
    </row>
    <row r="149" spans="1:11" ht="15.6" x14ac:dyDescent="0.3">
      <c r="A149" s="127" t="s">
        <v>534</v>
      </c>
      <c r="B149" s="128"/>
      <c r="D149" s="129"/>
      <c r="E149" s="123"/>
    </row>
    <row r="150" spans="1:11" ht="14.4" x14ac:dyDescent="0.3">
      <c r="A150" s="126"/>
      <c r="B150" s="128"/>
      <c r="D150" s="129"/>
      <c r="E150" s="123"/>
    </row>
    <row r="151" spans="1:11" ht="13.8" x14ac:dyDescent="0.25">
      <c r="A151" s="126" t="s">
        <v>485</v>
      </c>
      <c r="B151" s="130"/>
      <c r="D151" s="129"/>
      <c r="E151" s="131"/>
    </row>
    <row r="152" spans="1:11" ht="14.4" x14ac:dyDescent="0.3">
      <c r="A152" s="126" t="s">
        <v>486</v>
      </c>
      <c r="B152" s="128"/>
      <c r="D152" s="129"/>
      <c r="E152" s="123"/>
    </row>
    <row r="153" spans="1:11" ht="15.6" x14ac:dyDescent="0.3">
      <c r="A153" s="127" t="s">
        <v>487</v>
      </c>
      <c r="B153" s="128"/>
      <c r="D153" s="129"/>
      <c r="E153" s="123"/>
    </row>
    <row r="154" spans="1:11" ht="14.4" x14ac:dyDescent="0.3">
      <c r="A154" s="126"/>
      <c r="B154" s="128"/>
      <c r="D154" s="129"/>
      <c r="E154" s="123"/>
    </row>
    <row r="155" spans="1:11" ht="14.4" x14ac:dyDescent="0.3">
      <c r="A155" s="132"/>
      <c r="B155" s="133"/>
      <c r="D155" s="134"/>
      <c r="E155" s="123"/>
    </row>
    <row r="156" spans="1:11" ht="13.8" x14ac:dyDescent="0.25">
      <c r="A156" s="147" t="s">
        <v>369</v>
      </c>
      <c r="B156" s="147" t="s">
        <v>370</v>
      </c>
      <c r="C156" s="147" t="s">
        <v>371</v>
      </c>
      <c r="D156" s="147" t="s">
        <v>372</v>
      </c>
      <c r="E156" s="148" t="s">
        <v>373</v>
      </c>
      <c r="F156" s="147" t="s">
        <v>374</v>
      </c>
      <c r="G156" s="147" t="s">
        <v>375</v>
      </c>
      <c r="H156" s="147" t="s">
        <v>376</v>
      </c>
    </row>
    <row r="157" spans="1:11" ht="18" customHeight="1" x14ac:dyDescent="0.25">
      <c r="A157" s="145">
        <v>1</v>
      </c>
      <c r="B157" s="4" t="s">
        <v>209</v>
      </c>
      <c r="C157" s="5" t="s">
        <v>212</v>
      </c>
      <c r="D157" s="4" t="s">
        <v>213</v>
      </c>
      <c r="E157" s="6">
        <f>VLOOKUP(G157,Express!$B$6:$W$26,21,FALSE)+J157</f>
        <v>103615497</v>
      </c>
      <c r="F157" s="117" t="s">
        <v>535</v>
      </c>
      <c r="G157" s="3">
        <v>748</v>
      </c>
      <c r="H157" s="4" t="s">
        <v>209</v>
      </c>
      <c r="J157" s="66">
        <f>VLOOKUP(G157,Express!$Y$6:$AU$26,23,FALSE)</f>
        <v>90381303</v>
      </c>
      <c r="K157" t="str">
        <f>LEFT(D157,6)</f>
        <v>Agriba</v>
      </c>
    </row>
    <row r="158" spans="1:11" ht="18" customHeight="1" x14ac:dyDescent="0.25">
      <c r="A158" s="146">
        <v>2</v>
      </c>
      <c r="B158" s="8" t="s">
        <v>223</v>
      </c>
      <c r="C158" s="10" t="s">
        <v>279</v>
      </c>
      <c r="D158" s="8" t="s">
        <v>22</v>
      </c>
      <c r="E158" s="6">
        <f>VLOOKUP(G158,Express!$B$6:$W$26,21,FALSE)+J158</f>
        <v>67524690</v>
      </c>
      <c r="F158" s="9" t="s">
        <v>535</v>
      </c>
      <c r="G158" s="9">
        <v>2135</v>
      </c>
      <c r="H158" s="8" t="s">
        <v>223</v>
      </c>
      <c r="J158" s="66">
        <f>VLOOKUP(G158,Express!$Y$6:$AU$26,23,FALSE)</f>
        <v>58761949</v>
      </c>
      <c r="K158" t="str">
        <f t="shared" ref="K158:K177" si="1">LEFT(D158,6)</f>
        <v>Vietco</v>
      </c>
    </row>
    <row r="159" spans="1:11" ht="18" customHeight="1" x14ac:dyDescent="0.25">
      <c r="A159" s="146">
        <v>3</v>
      </c>
      <c r="B159" s="8" t="s">
        <v>281</v>
      </c>
      <c r="C159" s="10" t="s">
        <v>280</v>
      </c>
      <c r="D159" s="8" t="s">
        <v>134</v>
      </c>
      <c r="E159" s="6">
        <f>VLOOKUP(G159,Express!$B$6:$W$26,21,FALSE)+J159</f>
        <v>42247110</v>
      </c>
      <c r="F159" s="117" t="s">
        <v>535</v>
      </c>
      <c r="G159" s="9">
        <v>1471</v>
      </c>
      <c r="H159" s="8" t="s">
        <v>256</v>
      </c>
      <c r="J159" s="66">
        <f>VLOOKUP(G159,Express!$Y$6:$AU$26,23,FALSE)</f>
        <v>36703884</v>
      </c>
      <c r="K159" t="str">
        <f t="shared" si="1"/>
        <v>Vietco</v>
      </c>
    </row>
    <row r="160" spans="1:11" ht="18" customHeight="1" x14ac:dyDescent="0.25">
      <c r="A160" s="146">
        <v>4</v>
      </c>
      <c r="B160" s="8" t="s">
        <v>215</v>
      </c>
      <c r="C160" s="10" t="s">
        <v>214</v>
      </c>
      <c r="D160" s="8" t="s">
        <v>216</v>
      </c>
      <c r="E160" s="6">
        <f>VLOOKUP(G160,Express!$B$6:$W$26,21,FALSE)+J160</f>
        <v>37954287</v>
      </c>
      <c r="F160" s="9" t="s">
        <v>535</v>
      </c>
      <c r="G160" s="9">
        <v>2918</v>
      </c>
      <c r="H160" s="8" t="s">
        <v>210</v>
      </c>
      <c r="J160" s="66">
        <f>VLOOKUP(G160,Express!$Y$6:$AU$26,23,FALSE)</f>
        <v>32929690</v>
      </c>
      <c r="K160" t="str">
        <f t="shared" si="1"/>
        <v>Vietco</v>
      </c>
    </row>
    <row r="161" spans="1:11" s="158" customFormat="1" ht="18" customHeight="1" x14ac:dyDescent="0.25">
      <c r="A161" s="146">
        <v>5</v>
      </c>
      <c r="B161" s="8" t="s">
        <v>463</v>
      </c>
      <c r="C161" s="10" t="s">
        <v>465</v>
      </c>
      <c r="D161" s="8" t="s">
        <v>466</v>
      </c>
      <c r="E161" s="6">
        <f>VLOOKUP(G161,Express!$B$6:$W$26,21,FALSE)+J161</f>
        <v>90729126</v>
      </c>
      <c r="F161" s="117" t="s">
        <v>535</v>
      </c>
      <c r="G161" s="9">
        <v>1563</v>
      </c>
      <c r="H161" s="8" t="s">
        <v>463</v>
      </c>
      <c r="J161" s="66">
        <f>VLOOKUP(G161,Express!$Y$6:$AU$26,23,FALSE)</f>
        <v>79142594</v>
      </c>
      <c r="K161" t="str">
        <f t="shared" si="1"/>
        <v>Vietin</v>
      </c>
    </row>
    <row r="162" spans="1:11" ht="18" customHeight="1" x14ac:dyDescent="0.25">
      <c r="A162" s="146">
        <v>6</v>
      </c>
      <c r="B162" s="8" t="s">
        <v>86</v>
      </c>
      <c r="C162" s="10" t="s">
        <v>84</v>
      </c>
      <c r="D162" s="8" t="s">
        <v>85</v>
      </c>
      <c r="E162" s="6">
        <f>VLOOKUP(G162,Express!$B$6:$W$26,21,FALSE)+J162</f>
        <v>67524690</v>
      </c>
      <c r="F162" s="9" t="s">
        <v>535</v>
      </c>
      <c r="G162" s="9">
        <v>2285</v>
      </c>
      <c r="H162" s="8" t="s">
        <v>83</v>
      </c>
      <c r="J162" s="66">
        <f>VLOOKUP(G162,Express!$Y$6:$AU$26,23,FALSE)</f>
        <v>58761949</v>
      </c>
      <c r="K162" t="str">
        <f t="shared" si="1"/>
        <v>MSB, N</v>
      </c>
    </row>
    <row r="163" spans="1:11" ht="18" customHeight="1" x14ac:dyDescent="0.25">
      <c r="A163" s="146">
        <v>7</v>
      </c>
      <c r="B163" s="8" t="s">
        <v>283</v>
      </c>
      <c r="C163" s="10" t="s">
        <v>282</v>
      </c>
      <c r="D163" s="8" t="s">
        <v>284</v>
      </c>
      <c r="E163" s="6">
        <f>VLOOKUP(G163,Express!$B$6:$W$26,21,FALSE)+J163</f>
        <v>42247110</v>
      </c>
      <c r="F163" s="117" t="s">
        <v>535</v>
      </c>
      <c r="G163" s="9">
        <v>2249</v>
      </c>
      <c r="H163" s="8" t="s">
        <v>226</v>
      </c>
      <c r="J163" s="66">
        <f>VLOOKUP(G163,Express!$Y$6:$AU$26,23,FALSE)</f>
        <v>36703884</v>
      </c>
      <c r="K163" t="str">
        <f t="shared" si="1"/>
        <v>Vietin</v>
      </c>
    </row>
    <row r="164" spans="1:11" ht="18" customHeight="1" x14ac:dyDescent="0.25">
      <c r="A164" s="146">
        <v>8</v>
      </c>
      <c r="B164" s="8" t="s">
        <v>81</v>
      </c>
      <c r="C164" s="10" t="s">
        <v>87</v>
      </c>
      <c r="D164" s="8" t="s">
        <v>22</v>
      </c>
      <c r="E164" s="6">
        <f>VLOOKUP(G164,Express!$B$6:$W$26,21,FALSE)+J164</f>
        <v>37954287</v>
      </c>
      <c r="F164" s="9" t="s">
        <v>535</v>
      </c>
      <c r="G164" s="9">
        <v>2701</v>
      </c>
      <c r="H164" s="8" t="s">
        <v>81</v>
      </c>
      <c r="J164" s="66">
        <f>VLOOKUP(G164,Express!$Y$6:$AU$26,23,FALSE)</f>
        <v>32929690</v>
      </c>
      <c r="K164" t="str">
        <f t="shared" si="1"/>
        <v>Vietco</v>
      </c>
    </row>
    <row r="165" spans="1:11" ht="18" customHeight="1" x14ac:dyDescent="0.25">
      <c r="A165" s="146">
        <v>9</v>
      </c>
      <c r="B165" s="8" t="s">
        <v>287</v>
      </c>
      <c r="C165" s="10" t="s">
        <v>285</v>
      </c>
      <c r="D165" s="8" t="s">
        <v>286</v>
      </c>
      <c r="E165" s="6">
        <f>VLOOKUP(G165,Express!$B$6:$W$26,21,FALSE)+J165</f>
        <v>30637668</v>
      </c>
      <c r="F165" s="117" t="s">
        <v>535</v>
      </c>
      <c r="G165" s="9">
        <v>2817</v>
      </c>
      <c r="H165" s="8" t="s">
        <v>227</v>
      </c>
      <c r="J165" s="66">
        <f>VLOOKUP(G165,Express!$Y$6:$AU$26,23,FALSE)</f>
        <v>26739040</v>
      </c>
      <c r="K165" t="str">
        <f t="shared" si="1"/>
        <v>Agriba</v>
      </c>
    </row>
    <row r="166" spans="1:11" ht="18" customHeight="1" x14ac:dyDescent="0.25">
      <c r="A166" s="146">
        <v>10</v>
      </c>
      <c r="B166" s="8" t="s">
        <v>211</v>
      </c>
      <c r="C166" s="10" t="s">
        <v>217</v>
      </c>
      <c r="D166" s="157" t="s">
        <v>218</v>
      </c>
      <c r="E166" s="6">
        <f>VLOOKUP(G166,Express!$B$6:$W$26,21,FALSE)+J166</f>
        <v>23756135</v>
      </c>
      <c r="F166" s="9" t="s">
        <v>535</v>
      </c>
      <c r="G166" s="9">
        <v>2985</v>
      </c>
      <c r="H166" s="8" t="s">
        <v>211</v>
      </c>
      <c r="J166" s="66">
        <f>VLOOKUP(G166,Express!$Y$6:$AU$26,23,FALSE)</f>
        <v>20616457</v>
      </c>
      <c r="K166" t="str">
        <f t="shared" si="1"/>
        <v>Vietin</v>
      </c>
    </row>
    <row r="167" spans="1:11" ht="18" customHeight="1" x14ac:dyDescent="0.25">
      <c r="A167" s="146">
        <v>11</v>
      </c>
      <c r="B167" s="8" t="s">
        <v>290</v>
      </c>
      <c r="C167" s="10" t="s">
        <v>288</v>
      </c>
      <c r="D167" s="8" t="s">
        <v>289</v>
      </c>
      <c r="E167" s="6">
        <f>VLOOKUP(G167,Express!$B$6:$W$26,21,FALSE)+J167</f>
        <v>23756135</v>
      </c>
      <c r="F167" s="117" t="s">
        <v>535</v>
      </c>
      <c r="G167" s="9">
        <v>2602</v>
      </c>
      <c r="H167" s="8" t="s">
        <v>257</v>
      </c>
      <c r="J167" s="66">
        <f>VLOOKUP(G167,Express!$Y$6:$AU$26,23,FALSE)</f>
        <v>20616457</v>
      </c>
      <c r="K167" t="str">
        <f t="shared" si="1"/>
        <v>Vietco</v>
      </c>
    </row>
    <row r="168" spans="1:11" ht="18" customHeight="1" x14ac:dyDescent="0.25">
      <c r="A168" s="146">
        <v>12</v>
      </c>
      <c r="B168" s="8" t="s">
        <v>467</v>
      </c>
      <c r="C168" s="10" t="s">
        <v>468</v>
      </c>
      <c r="D168" s="8" t="s">
        <v>298</v>
      </c>
      <c r="E168" s="6">
        <f>VLOOKUP(G168,Express!$B$6:$W$26,21,FALSE)+J168</f>
        <v>23756135</v>
      </c>
      <c r="F168" s="9" t="s">
        <v>535</v>
      </c>
      <c r="G168" s="9">
        <v>2843</v>
      </c>
      <c r="H168" s="8" t="s">
        <v>464</v>
      </c>
      <c r="J168" s="66">
        <f>VLOOKUP(G168,Express!$Y$6:$AU$26,23,FALSE)</f>
        <v>20616457</v>
      </c>
      <c r="K168" t="str">
        <f t="shared" si="1"/>
        <v>Agriba</v>
      </c>
    </row>
    <row r="169" spans="1:11" ht="18" customHeight="1" x14ac:dyDescent="0.25">
      <c r="A169" s="146">
        <v>13</v>
      </c>
      <c r="B169" s="8" t="s">
        <v>292</v>
      </c>
      <c r="C169" s="10" t="s">
        <v>291</v>
      </c>
      <c r="D169" s="8" t="s">
        <v>73</v>
      </c>
      <c r="E169" s="6">
        <f>VLOOKUP(G169,Express!$B$6:$W$26,21,FALSE)+J169</f>
        <v>17917426</v>
      </c>
      <c r="F169" s="117" t="s">
        <v>535</v>
      </c>
      <c r="G169" s="9">
        <v>2834</v>
      </c>
      <c r="H169" s="8" t="s">
        <v>229</v>
      </c>
      <c r="J169" s="66">
        <f>VLOOKUP(G169,Express!$Y$6:$AU$26,23,FALSE)</f>
        <v>15584200</v>
      </c>
      <c r="K169" t="str">
        <f t="shared" si="1"/>
        <v>Vietin</v>
      </c>
    </row>
    <row r="170" spans="1:11" ht="18" customHeight="1" x14ac:dyDescent="0.25">
      <c r="A170" s="146">
        <v>14</v>
      </c>
      <c r="B170" s="8" t="s">
        <v>295</v>
      </c>
      <c r="C170" s="10" t="s">
        <v>293</v>
      </c>
      <c r="D170" s="8" t="s">
        <v>294</v>
      </c>
      <c r="E170" s="6">
        <f>VLOOKUP(G170,Express!$B$6:$W$26,21,FALSE)+J170</f>
        <v>17917426</v>
      </c>
      <c r="F170" s="9" t="s">
        <v>535</v>
      </c>
      <c r="G170" s="9">
        <v>3003</v>
      </c>
      <c r="H170" s="8" t="s">
        <v>230</v>
      </c>
      <c r="J170" s="66">
        <f>VLOOKUP(G170,Express!$Y$6:$AU$26,23,FALSE)</f>
        <v>15584200</v>
      </c>
      <c r="K170" t="str">
        <f t="shared" si="1"/>
        <v>Techco</v>
      </c>
    </row>
    <row r="171" spans="1:11" ht="18" customHeight="1" x14ac:dyDescent="0.25">
      <c r="A171" s="146">
        <v>15</v>
      </c>
      <c r="B171" s="8" t="s">
        <v>231</v>
      </c>
      <c r="C171" s="10" t="s">
        <v>296</v>
      </c>
      <c r="D171" s="8" t="s">
        <v>66</v>
      </c>
      <c r="E171" s="6">
        <f>VLOOKUP(G171,Express!$B$6:$W$26,21,FALSE)+J171</f>
        <v>30637668</v>
      </c>
      <c r="F171" s="117" t="s">
        <v>535</v>
      </c>
      <c r="G171" s="9">
        <v>2789</v>
      </c>
      <c r="H171" s="8" t="s">
        <v>231</v>
      </c>
      <c r="J171" s="66">
        <f>VLOOKUP(G171,Express!$Y$6:$AU$26,23,FALSE)</f>
        <v>26739040</v>
      </c>
      <c r="K171" t="str">
        <f t="shared" si="1"/>
        <v>Agriba</v>
      </c>
    </row>
    <row r="172" spans="1:11" ht="18" customHeight="1" x14ac:dyDescent="0.25">
      <c r="A172" s="146">
        <v>16</v>
      </c>
      <c r="B172" s="8" t="s">
        <v>232</v>
      </c>
      <c r="C172" s="10" t="s">
        <v>297</v>
      </c>
      <c r="D172" s="8" t="s">
        <v>298</v>
      </c>
      <c r="E172" s="6">
        <f>VLOOKUP(G172,Express!$B$6:$W$26,21,FALSE)+J172</f>
        <v>23756135</v>
      </c>
      <c r="F172" s="9" t="s">
        <v>535</v>
      </c>
      <c r="G172" s="9">
        <v>2827</v>
      </c>
      <c r="H172" s="8" t="s">
        <v>232</v>
      </c>
      <c r="J172" s="66">
        <f>VLOOKUP(G172,Express!$Y$6:$AU$26,23,FALSE)</f>
        <v>20616457</v>
      </c>
      <c r="K172" t="str">
        <f t="shared" si="1"/>
        <v>Agriba</v>
      </c>
    </row>
    <row r="173" spans="1:11" ht="18" customHeight="1" x14ac:dyDescent="0.25">
      <c r="A173" s="146">
        <v>17</v>
      </c>
      <c r="B173" s="8" t="s">
        <v>301</v>
      </c>
      <c r="C173" s="10" t="s">
        <v>299</v>
      </c>
      <c r="D173" s="8" t="s">
        <v>300</v>
      </c>
      <c r="E173" s="6">
        <f>VLOOKUP(G173,Express!$B$6:$W$26,21,FALSE)+J173</f>
        <v>23756135</v>
      </c>
      <c r="F173" s="117" t="s">
        <v>535</v>
      </c>
      <c r="G173" s="9">
        <v>2886</v>
      </c>
      <c r="H173" s="8" t="s">
        <v>258</v>
      </c>
      <c r="J173" s="66">
        <f>VLOOKUP(G173,Express!$Y$6:$AU$26,23,FALSE)</f>
        <v>20616457</v>
      </c>
      <c r="K173" t="str">
        <f t="shared" si="1"/>
        <v>Shinha</v>
      </c>
    </row>
    <row r="174" spans="1:11" ht="18" customHeight="1" x14ac:dyDescent="0.25">
      <c r="A174" s="146">
        <v>18</v>
      </c>
      <c r="B174" s="8" t="s">
        <v>303</v>
      </c>
      <c r="C174" s="10" t="s">
        <v>302</v>
      </c>
      <c r="D174" s="8" t="s">
        <v>556</v>
      </c>
      <c r="E174" s="6">
        <f>VLOOKUP(G174,Express!$B$6:$W$26,21,FALSE)+J174</f>
        <v>23756135</v>
      </c>
      <c r="F174" s="9" t="s">
        <v>535</v>
      </c>
      <c r="G174" s="9">
        <v>2912</v>
      </c>
      <c r="H174" s="8" t="s">
        <v>234</v>
      </c>
      <c r="J174" s="66">
        <f>VLOOKUP(G174,Express!$Y$6:$AU$26,23,FALSE)</f>
        <v>20616457</v>
      </c>
      <c r="K174" t="str">
        <f t="shared" si="1"/>
        <v>HD Ban</v>
      </c>
    </row>
    <row r="175" spans="1:11" ht="18" customHeight="1" x14ac:dyDescent="0.25">
      <c r="A175" s="146">
        <v>19</v>
      </c>
      <c r="B175" s="8" t="s">
        <v>235</v>
      </c>
      <c r="C175" s="10" t="s">
        <v>304</v>
      </c>
      <c r="D175" s="8" t="s">
        <v>305</v>
      </c>
      <c r="E175" s="6">
        <f>VLOOKUP(G175,Express!$B$6:$W$26,21,FALSE)+J175</f>
        <v>26007748</v>
      </c>
      <c r="F175" s="117" t="s">
        <v>535</v>
      </c>
      <c r="G175" s="9">
        <v>3029</v>
      </c>
      <c r="H175" s="8" t="s">
        <v>235</v>
      </c>
      <c r="J175" s="66">
        <f>VLOOKUP(G175,Express!$Y$6:$AU$26,23,FALSE)</f>
        <v>22545490</v>
      </c>
      <c r="K175" t="str">
        <f t="shared" si="1"/>
        <v>Techco</v>
      </c>
    </row>
    <row r="176" spans="1:11" ht="18" customHeight="1" x14ac:dyDescent="0.25">
      <c r="A176" s="146">
        <v>20</v>
      </c>
      <c r="B176" s="8" t="s">
        <v>307</v>
      </c>
      <c r="C176" s="10" t="s">
        <v>306</v>
      </c>
      <c r="D176" s="8" t="s">
        <v>22</v>
      </c>
      <c r="E176" s="6">
        <f>VLOOKUP(G176,Express!$B$6:$W$26,21,FALSE)+J176</f>
        <v>29631216</v>
      </c>
      <c r="F176" s="9" t="s">
        <v>535</v>
      </c>
      <c r="G176" s="9">
        <v>2929</v>
      </c>
      <c r="H176" s="8" t="s">
        <v>259</v>
      </c>
      <c r="J176" s="66">
        <f>VLOOKUP(G176,Express!$Y$6:$AU$26,23,FALSE)</f>
        <v>25732588</v>
      </c>
      <c r="K176" t="str">
        <f t="shared" si="1"/>
        <v>Vietco</v>
      </c>
    </row>
    <row r="177" spans="1:11" ht="18" customHeight="1" x14ac:dyDescent="0.25">
      <c r="A177" s="146">
        <v>21</v>
      </c>
      <c r="B177" s="4" t="s">
        <v>310</v>
      </c>
      <c r="C177" s="5" t="s">
        <v>308</v>
      </c>
      <c r="D177" s="4" t="s">
        <v>309</v>
      </c>
      <c r="E177" s="6">
        <f>VLOOKUP(G177,Express!$B$6:$W$26,21,FALSE)+J177</f>
        <v>16749684</v>
      </c>
      <c r="F177" s="117" t="s">
        <v>535</v>
      </c>
      <c r="G177" s="3">
        <v>3035</v>
      </c>
      <c r="H177" s="4" t="s">
        <v>238</v>
      </c>
      <c r="J177" s="66">
        <f>VLOOKUP(G177,Express!$Y$6:$AU$26,23,FALSE)</f>
        <v>14577749</v>
      </c>
      <c r="K177" t="str">
        <f t="shared" si="1"/>
        <v>Vietin</v>
      </c>
    </row>
    <row r="178" spans="1:11" ht="21" customHeight="1" x14ac:dyDescent="0.3">
      <c r="A178" s="136"/>
      <c r="B178" s="173" t="s">
        <v>377</v>
      </c>
      <c r="C178" s="174"/>
      <c r="D178" s="175"/>
      <c r="E178" s="137">
        <f>SUM(E157:E177)</f>
        <v>801832443</v>
      </c>
      <c r="F178" s="136"/>
      <c r="G178" s="149"/>
      <c r="H178" s="149"/>
    </row>
    <row r="179" spans="1:11" ht="15.6" x14ac:dyDescent="0.3">
      <c r="B179" s="138"/>
      <c r="C179" s="138"/>
      <c r="D179" s="138"/>
      <c r="E179" s="139"/>
    </row>
    <row r="180" spans="1:11" ht="15" x14ac:dyDescent="0.3">
      <c r="A180" s="172" t="s">
        <v>378</v>
      </c>
      <c r="B180" s="172"/>
      <c r="C180" s="172"/>
      <c r="D180" s="172"/>
      <c r="E180" s="172"/>
      <c r="F180" s="172"/>
    </row>
    <row r="181" spans="1:11" ht="15.6" x14ac:dyDescent="0.3">
      <c r="A181" s="140"/>
      <c r="B181" s="140"/>
      <c r="C181" s="140"/>
      <c r="D181" s="140"/>
      <c r="E181" s="141"/>
      <c r="F181" s="140"/>
    </row>
    <row r="182" spans="1:11" ht="15.6" x14ac:dyDescent="0.3">
      <c r="B182" s="121"/>
      <c r="E182" s="142"/>
    </row>
    <row r="183" spans="1:11" ht="15.6" x14ac:dyDescent="0.3">
      <c r="A183" s="143"/>
      <c r="B183" s="150" t="s">
        <v>45</v>
      </c>
      <c r="D183" s="144" t="s">
        <v>47</v>
      </c>
      <c r="F183" s="144" t="s">
        <v>379</v>
      </c>
    </row>
    <row r="184" spans="1:11" ht="13.8" x14ac:dyDescent="0.25">
      <c r="A184" s="169"/>
      <c r="B184" s="169"/>
      <c r="C184" s="169"/>
      <c r="D184" s="169"/>
      <c r="E184" s="169"/>
      <c r="F184" s="169"/>
    </row>
    <row r="202" spans="1:5" ht="14.4" x14ac:dyDescent="0.3">
      <c r="A202" s="170" t="s">
        <v>363</v>
      </c>
      <c r="B202" s="170"/>
      <c r="E202" s="119"/>
    </row>
    <row r="203" spans="1:5" ht="14.4" x14ac:dyDescent="0.3">
      <c r="A203" s="120"/>
      <c r="B203" s="121"/>
      <c r="E203" s="119"/>
    </row>
    <row r="204" spans="1:5" ht="14.4" x14ac:dyDescent="0.3">
      <c r="A204" s="122" t="s">
        <v>364</v>
      </c>
      <c r="B204" s="121"/>
      <c r="E204" s="119"/>
    </row>
    <row r="205" spans="1:5" ht="14.4" x14ac:dyDescent="0.3">
      <c r="B205" s="121"/>
      <c r="E205" s="119"/>
    </row>
    <row r="206" spans="1:5" ht="14.4" x14ac:dyDescent="0.3">
      <c r="B206" s="121"/>
      <c r="E206" s="119"/>
    </row>
    <row r="207" spans="1:5" ht="14.4" x14ac:dyDescent="0.3">
      <c r="B207" s="121"/>
      <c r="E207" s="119"/>
    </row>
    <row r="208" spans="1:5" ht="14.4" x14ac:dyDescent="0.3">
      <c r="B208" s="121"/>
      <c r="E208" s="123"/>
    </row>
    <row r="209" spans="1:8" ht="21" x14ac:dyDescent="0.4">
      <c r="A209" s="171" t="s">
        <v>365</v>
      </c>
      <c r="B209" s="171"/>
      <c r="C209" s="171"/>
      <c r="D209" s="171"/>
      <c r="E209" s="171"/>
      <c r="F209" s="171"/>
    </row>
    <row r="210" spans="1:8" ht="14.4" x14ac:dyDescent="0.3">
      <c r="B210" s="121"/>
      <c r="E210" s="124"/>
    </row>
    <row r="211" spans="1:8" ht="13.8" x14ac:dyDescent="0.25">
      <c r="B211" s="121"/>
      <c r="E211" s="125" t="s">
        <v>366</v>
      </c>
    </row>
    <row r="212" spans="1:8" ht="13.8" x14ac:dyDescent="0.25">
      <c r="A212" s="126" t="s">
        <v>429</v>
      </c>
      <c r="B212" s="121"/>
      <c r="E212" s="125" t="s">
        <v>367</v>
      </c>
    </row>
    <row r="213" spans="1:8" ht="14.4" x14ac:dyDescent="0.3">
      <c r="A213" s="126" t="s">
        <v>433</v>
      </c>
      <c r="B213" s="121"/>
      <c r="E213" s="124"/>
    </row>
    <row r="214" spans="1:8" ht="14.4" x14ac:dyDescent="0.3">
      <c r="A214" s="126" t="s">
        <v>430</v>
      </c>
      <c r="B214" s="121"/>
      <c r="E214" s="124"/>
    </row>
    <row r="215" spans="1:8" ht="14.4" x14ac:dyDescent="0.3">
      <c r="A215" s="126" t="s">
        <v>431</v>
      </c>
      <c r="B215" s="121"/>
      <c r="E215" s="124"/>
    </row>
    <row r="216" spans="1:8" ht="14.4" x14ac:dyDescent="0.3">
      <c r="A216" s="126" t="s">
        <v>432</v>
      </c>
      <c r="B216" s="121"/>
      <c r="E216" s="124"/>
    </row>
    <row r="217" spans="1:8" ht="15.6" x14ac:dyDescent="0.3">
      <c r="A217" s="127" t="s">
        <v>536</v>
      </c>
      <c r="B217" s="128"/>
      <c r="D217" s="129"/>
      <c r="E217" s="123"/>
    </row>
    <row r="218" spans="1:8" ht="14.4" x14ac:dyDescent="0.3">
      <c r="A218" s="126"/>
      <c r="B218" s="128"/>
      <c r="D218" s="129"/>
      <c r="E218" s="123"/>
    </row>
    <row r="219" spans="1:8" ht="13.8" x14ac:dyDescent="0.25">
      <c r="A219" s="126" t="s">
        <v>424</v>
      </c>
      <c r="B219" s="130"/>
      <c r="D219" s="129"/>
      <c r="E219" s="131"/>
    </row>
    <row r="220" spans="1:8" ht="15.6" x14ac:dyDescent="0.3">
      <c r="A220" s="126" t="s">
        <v>488</v>
      </c>
      <c r="B220" s="128"/>
      <c r="D220" s="129"/>
      <c r="E220" s="123"/>
    </row>
    <row r="221" spans="1:8" ht="15.6" x14ac:dyDescent="0.3">
      <c r="A221" s="127" t="s">
        <v>489</v>
      </c>
      <c r="B221" s="128"/>
      <c r="D221" s="129"/>
      <c r="E221" s="123"/>
    </row>
    <row r="222" spans="1:8" ht="14.4" x14ac:dyDescent="0.3">
      <c r="A222" s="126"/>
      <c r="B222" s="128"/>
      <c r="D222" s="129"/>
      <c r="E222" s="123"/>
    </row>
    <row r="223" spans="1:8" ht="14.4" x14ac:dyDescent="0.3">
      <c r="A223" s="132"/>
      <c r="B223" s="133"/>
      <c r="D223" s="134"/>
      <c r="E223" s="123"/>
    </row>
    <row r="224" spans="1:8" ht="13.8" x14ac:dyDescent="0.25">
      <c r="A224" s="147" t="s">
        <v>369</v>
      </c>
      <c r="B224" s="147" t="s">
        <v>370</v>
      </c>
      <c r="C224" s="147" t="s">
        <v>371</v>
      </c>
      <c r="D224" s="147" t="s">
        <v>372</v>
      </c>
      <c r="E224" s="148" t="s">
        <v>373</v>
      </c>
      <c r="F224" s="147" t="s">
        <v>374</v>
      </c>
      <c r="G224" s="147" t="s">
        <v>375</v>
      </c>
      <c r="H224" s="147" t="s">
        <v>376</v>
      </c>
    </row>
    <row r="225" spans="1:11" ht="18" customHeight="1" x14ac:dyDescent="0.25">
      <c r="A225" s="146">
        <v>1</v>
      </c>
      <c r="B225" s="8" t="s">
        <v>339</v>
      </c>
      <c r="C225" s="10" t="s">
        <v>337</v>
      </c>
      <c r="D225" s="8" t="s">
        <v>338</v>
      </c>
      <c r="E225" s="6">
        <f>VLOOKUP(G225,T.Thuy!$B$6:$X$28,23,FALSE)</f>
        <v>87445900</v>
      </c>
      <c r="F225" s="117" t="s">
        <v>537</v>
      </c>
      <c r="G225" s="9">
        <v>1300</v>
      </c>
      <c r="H225" s="8" t="s">
        <v>329</v>
      </c>
      <c r="K225" t="str">
        <f>LEFT(D225,6)</f>
        <v>Sacomb</v>
      </c>
    </row>
    <row r="226" spans="1:11" ht="18" customHeight="1" x14ac:dyDescent="0.25">
      <c r="A226" s="146">
        <v>2</v>
      </c>
      <c r="B226" s="8" t="s">
        <v>340</v>
      </c>
      <c r="C226" s="10" t="s">
        <v>409</v>
      </c>
      <c r="D226" s="8" t="s">
        <v>410</v>
      </c>
      <c r="E226" s="7">
        <f>VLOOKUP(G226,T.Thuy!$B$6:$X$28,23,FALSE)</f>
        <v>56618400</v>
      </c>
      <c r="F226" s="9" t="s">
        <v>537</v>
      </c>
      <c r="G226" s="9">
        <v>1961</v>
      </c>
      <c r="H226" s="8" t="s">
        <v>330</v>
      </c>
      <c r="K226" t="str">
        <f t="shared" ref="K226:K247" si="2">LEFT(D226,6)</f>
        <v xml:space="preserve">BIDV, </v>
      </c>
    </row>
    <row r="227" spans="1:11" ht="18" customHeight="1" x14ac:dyDescent="0.25">
      <c r="A227" s="146">
        <v>3</v>
      </c>
      <c r="B227" s="8" t="s">
        <v>88</v>
      </c>
      <c r="C227" s="10" t="s">
        <v>103</v>
      </c>
      <c r="D227" s="8" t="s">
        <v>104</v>
      </c>
      <c r="E227" s="7">
        <f>VLOOKUP(G227,T.Thuy!$B$6:$X$28,23,FALSE)</f>
        <v>35085900</v>
      </c>
      <c r="F227" s="117" t="s">
        <v>537</v>
      </c>
      <c r="G227" s="9">
        <v>1811</v>
      </c>
      <c r="H227" s="8" t="s">
        <v>88</v>
      </c>
      <c r="K227" t="str">
        <f t="shared" si="2"/>
        <v>Agriba</v>
      </c>
    </row>
    <row r="228" spans="1:11" ht="18" customHeight="1" x14ac:dyDescent="0.25">
      <c r="A228" s="146">
        <v>4</v>
      </c>
      <c r="B228" s="8" t="s">
        <v>106</v>
      </c>
      <c r="C228" s="10" t="s">
        <v>105</v>
      </c>
      <c r="D228" s="8" t="s">
        <v>74</v>
      </c>
      <c r="E228" s="7">
        <f>VLOOKUP(G228,T.Thuy!$B$6:$X$28,23,FALSE)</f>
        <v>31453400</v>
      </c>
      <c r="F228" s="9" t="s">
        <v>537</v>
      </c>
      <c r="G228" s="9">
        <v>2425</v>
      </c>
      <c r="H228" s="8" t="s">
        <v>89</v>
      </c>
      <c r="K228" t="str">
        <f t="shared" si="2"/>
        <v>Vietco</v>
      </c>
    </row>
    <row r="229" spans="1:11" ht="18" customHeight="1" x14ac:dyDescent="0.25">
      <c r="A229" s="146">
        <v>5</v>
      </c>
      <c r="B229" s="8" t="s">
        <v>343</v>
      </c>
      <c r="C229" s="10" t="s">
        <v>341</v>
      </c>
      <c r="D229" s="8" t="s">
        <v>342</v>
      </c>
      <c r="E229" s="7">
        <f>VLOOKUP(G229,T.Thuy!$B$6:$X$28,23,FALSE)</f>
        <v>76453400</v>
      </c>
      <c r="F229" s="117" t="s">
        <v>537</v>
      </c>
      <c r="G229" s="9">
        <v>1463</v>
      </c>
      <c r="H229" s="8" t="s">
        <v>331</v>
      </c>
      <c r="K229" t="str">
        <f t="shared" si="2"/>
        <v xml:space="preserve">BIDV, </v>
      </c>
    </row>
    <row r="230" spans="1:11" ht="18" customHeight="1" x14ac:dyDescent="0.25">
      <c r="A230" s="146">
        <v>6</v>
      </c>
      <c r="B230" s="8" t="s">
        <v>138</v>
      </c>
      <c r="C230" s="10" t="s">
        <v>144</v>
      </c>
      <c r="D230" s="8" t="s">
        <v>145</v>
      </c>
      <c r="E230" s="7">
        <f>VLOOKUP(G230,T.Thuy!$B$6:$X$28,23,FALSE)</f>
        <v>56618400</v>
      </c>
      <c r="F230" s="9" t="s">
        <v>537</v>
      </c>
      <c r="G230" s="9">
        <v>1889</v>
      </c>
      <c r="H230" s="8" t="s">
        <v>138</v>
      </c>
      <c r="K230" t="str">
        <f t="shared" si="2"/>
        <v>Vietin</v>
      </c>
    </row>
    <row r="231" spans="1:11" ht="18" customHeight="1" x14ac:dyDescent="0.25">
      <c r="A231" s="146">
        <v>7</v>
      </c>
      <c r="B231" s="8" t="s">
        <v>109</v>
      </c>
      <c r="C231" s="10" t="s">
        <v>107</v>
      </c>
      <c r="D231" s="8" t="s">
        <v>108</v>
      </c>
      <c r="E231" s="7">
        <f>VLOOKUP(G231,T.Thuy!$B$6:$X$28,23,FALSE)</f>
        <v>35085900</v>
      </c>
      <c r="F231" s="117" t="s">
        <v>537</v>
      </c>
      <c r="G231" s="9">
        <v>2408</v>
      </c>
      <c r="H231" s="8" t="s">
        <v>90</v>
      </c>
      <c r="K231" t="str">
        <f t="shared" si="2"/>
        <v>Vietin</v>
      </c>
    </row>
    <row r="232" spans="1:11" ht="18" customHeight="1" x14ac:dyDescent="0.25">
      <c r="A232" s="146">
        <v>8</v>
      </c>
      <c r="B232" s="8" t="s">
        <v>91</v>
      </c>
      <c r="C232" s="10" t="s">
        <v>110</v>
      </c>
      <c r="D232" s="8" t="s">
        <v>111</v>
      </c>
      <c r="E232" s="7">
        <f>VLOOKUP(G232,T.Thuy!$B$6:$X$28,23,FALSE)</f>
        <v>31453400</v>
      </c>
      <c r="F232" s="9" t="s">
        <v>537</v>
      </c>
      <c r="G232" s="9">
        <v>2431</v>
      </c>
      <c r="H232" s="8" t="s">
        <v>91</v>
      </c>
      <c r="K232" t="str">
        <f t="shared" si="2"/>
        <v>Vietco</v>
      </c>
    </row>
    <row r="233" spans="1:11" ht="18" customHeight="1" x14ac:dyDescent="0.25">
      <c r="A233" s="146">
        <v>9</v>
      </c>
      <c r="B233" s="8" t="s">
        <v>333</v>
      </c>
      <c r="C233" s="10" t="s">
        <v>344</v>
      </c>
      <c r="D233" s="8" t="s">
        <v>345</v>
      </c>
      <c r="E233" s="7">
        <f>VLOOKUP(G233,T.Thuy!$B$6:$X$28,23,FALSE)</f>
        <v>27566700</v>
      </c>
      <c r="F233" s="117" t="s">
        <v>537</v>
      </c>
      <c r="G233" s="9" t="s">
        <v>332</v>
      </c>
      <c r="H233" s="8" t="s">
        <v>333</v>
      </c>
      <c r="K233" t="str">
        <f t="shared" si="2"/>
        <v>MB Ban</v>
      </c>
    </row>
    <row r="234" spans="1:11" ht="18" customHeight="1" x14ac:dyDescent="0.25">
      <c r="A234" s="146">
        <v>10</v>
      </c>
      <c r="B234" s="8" t="s">
        <v>78</v>
      </c>
      <c r="C234" s="10" t="s">
        <v>76</v>
      </c>
      <c r="D234" s="8" t="s">
        <v>77</v>
      </c>
      <c r="E234" s="7">
        <f>VLOOKUP(G234,T.Thuy!$B$6:$X$28,23,FALSE)</f>
        <v>22114200</v>
      </c>
      <c r="F234" s="9" t="s">
        <v>537</v>
      </c>
      <c r="G234" s="9">
        <v>2755</v>
      </c>
      <c r="H234" s="8" t="s">
        <v>75</v>
      </c>
      <c r="K234" t="str">
        <f t="shared" si="2"/>
        <v>Vietco</v>
      </c>
    </row>
    <row r="235" spans="1:11" ht="18" customHeight="1" x14ac:dyDescent="0.25">
      <c r="A235" s="146">
        <v>11</v>
      </c>
      <c r="B235" s="8" t="s">
        <v>93</v>
      </c>
      <c r="C235" s="10" t="s">
        <v>112</v>
      </c>
      <c r="D235" s="8" t="s">
        <v>113</v>
      </c>
      <c r="E235" s="7">
        <f>VLOOKUP(G235,T.Thuy!$B$6:$X$28,23,FALSE)</f>
        <v>22114200</v>
      </c>
      <c r="F235" s="117" t="s">
        <v>537</v>
      </c>
      <c r="G235" s="9">
        <v>2889</v>
      </c>
      <c r="H235" s="8" t="s">
        <v>93</v>
      </c>
      <c r="K235" t="str">
        <f t="shared" si="2"/>
        <v>Sacomb</v>
      </c>
    </row>
    <row r="236" spans="1:11" ht="18" customHeight="1" x14ac:dyDescent="0.25">
      <c r="A236" s="146">
        <v>12</v>
      </c>
      <c r="B236" s="8" t="s">
        <v>92</v>
      </c>
      <c r="C236" s="10" t="s">
        <v>142</v>
      </c>
      <c r="D236" s="8" t="s">
        <v>143</v>
      </c>
      <c r="E236" s="7">
        <f>VLOOKUP(G236,T.Thuy!$B$6:$X$28,23,FALSE)</f>
        <v>22114200</v>
      </c>
      <c r="F236" s="9" t="s">
        <v>537</v>
      </c>
      <c r="G236" s="9">
        <v>2575</v>
      </c>
      <c r="H236" s="8" t="s">
        <v>92</v>
      </c>
      <c r="K236" t="str">
        <f t="shared" si="2"/>
        <v>Vietin</v>
      </c>
    </row>
    <row r="237" spans="1:11" ht="18" customHeight="1" x14ac:dyDescent="0.25">
      <c r="A237" s="146">
        <v>13</v>
      </c>
      <c r="B237" s="8" t="s">
        <v>116</v>
      </c>
      <c r="C237" s="10" t="s">
        <v>114</v>
      </c>
      <c r="D237" s="8" t="s">
        <v>115</v>
      </c>
      <c r="E237" s="7">
        <f>VLOOKUP(G237,T.Thuy!$B$6:$X$28,23,FALSE)</f>
        <v>22114200</v>
      </c>
      <c r="F237" s="117" t="s">
        <v>537</v>
      </c>
      <c r="G237" s="9">
        <v>2896</v>
      </c>
      <c r="H237" s="8" t="s">
        <v>101</v>
      </c>
      <c r="K237" t="str">
        <f t="shared" si="2"/>
        <v>Agriba</v>
      </c>
    </row>
    <row r="238" spans="1:11" ht="18" customHeight="1" x14ac:dyDescent="0.25">
      <c r="A238" s="146">
        <v>14</v>
      </c>
      <c r="B238" s="8" t="s">
        <v>148</v>
      </c>
      <c r="C238" s="10" t="s">
        <v>146</v>
      </c>
      <c r="D238" s="8" t="s">
        <v>147</v>
      </c>
      <c r="E238" s="7">
        <f>VLOOKUP(G238,T.Thuy!$B$6:$X$28,23,FALSE)</f>
        <v>16814200</v>
      </c>
      <c r="F238" s="9" t="s">
        <v>537</v>
      </c>
      <c r="G238" s="9">
        <v>2868</v>
      </c>
      <c r="H238" s="8" t="s">
        <v>139</v>
      </c>
      <c r="K238" t="str">
        <f t="shared" si="2"/>
        <v>MB Ban</v>
      </c>
    </row>
    <row r="239" spans="1:11" ht="18" customHeight="1" x14ac:dyDescent="0.25">
      <c r="A239" s="146">
        <v>15</v>
      </c>
      <c r="B239" s="8" t="s">
        <v>141</v>
      </c>
      <c r="C239" s="10" t="s">
        <v>165</v>
      </c>
      <c r="D239" s="8" t="s">
        <v>149</v>
      </c>
      <c r="E239" s="7">
        <f>VLOOKUP(G239,T.Thuy!$B$6:$X$28,23,FALSE)</f>
        <v>15734200</v>
      </c>
      <c r="F239" s="117" t="s">
        <v>537</v>
      </c>
      <c r="G239" s="9" t="s">
        <v>140</v>
      </c>
      <c r="H239" s="8" t="s">
        <v>141</v>
      </c>
      <c r="K239" t="str">
        <f t="shared" si="2"/>
        <v>Sacomb</v>
      </c>
    </row>
    <row r="240" spans="1:11" ht="18" customHeight="1" x14ac:dyDescent="0.25">
      <c r="A240" s="146">
        <v>16</v>
      </c>
      <c r="B240" s="8" t="s">
        <v>119</v>
      </c>
      <c r="C240" s="10" t="s">
        <v>117</v>
      </c>
      <c r="D240" s="8" t="s">
        <v>118</v>
      </c>
      <c r="E240" s="7">
        <f>VLOOKUP(G240,T.Thuy!$B$6:$X$28,23,FALSE)</f>
        <v>27566700</v>
      </c>
      <c r="F240" s="9" t="s">
        <v>537</v>
      </c>
      <c r="G240" s="9">
        <v>2744</v>
      </c>
      <c r="H240" s="8" t="s">
        <v>102</v>
      </c>
      <c r="K240" t="str">
        <f t="shared" si="2"/>
        <v>Techco</v>
      </c>
    </row>
    <row r="241" spans="1:11" ht="18" customHeight="1" x14ac:dyDescent="0.25">
      <c r="A241" s="146">
        <v>17</v>
      </c>
      <c r="B241" s="8" t="s">
        <v>122</v>
      </c>
      <c r="C241" s="10" t="s">
        <v>120</v>
      </c>
      <c r="D241" s="8" t="s">
        <v>121</v>
      </c>
      <c r="E241" s="7">
        <f>VLOOKUP(G241,T.Thuy!$B$6:$X$28,23,FALSE)</f>
        <v>22114200</v>
      </c>
      <c r="F241" s="117" t="s">
        <v>537</v>
      </c>
      <c r="G241" s="9">
        <v>2881</v>
      </c>
      <c r="H241" s="8" t="s">
        <v>95</v>
      </c>
      <c r="K241" t="str">
        <f t="shared" si="2"/>
        <v>MB, Th</v>
      </c>
    </row>
    <row r="242" spans="1:11" ht="18" customHeight="1" x14ac:dyDescent="0.25">
      <c r="A242" s="146">
        <v>18</v>
      </c>
      <c r="B242" s="8" t="s">
        <v>125</v>
      </c>
      <c r="C242" s="10" t="s">
        <v>123</v>
      </c>
      <c r="D242" s="8" t="s">
        <v>124</v>
      </c>
      <c r="E242" s="7">
        <f>VLOOKUP(G242,T.Thuy!$B$6:$X$28,23,FALSE)</f>
        <v>22114200</v>
      </c>
      <c r="F242" s="9" t="s">
        <v>537</v>
      </c>
      <c r="G242" s="9">
        <v>2864</v>
      </c>
      <c r="H242" s="8" t="s">
        <v>96</v>
      </c>
      <c r="K242" t="str">
        <f t="shared" si="2"/>
        <v>MBV, T</v>
      </c>
    </row>
    <row r="243" spans="1:11" ht="18" customHeight="1" x14ac:dyDescent="0.25">
      <c r="A243" s="146">
        <v>19</v>
      </c>
      <c r="B243" s="8" t="s">
        <v>97</v>
      </c>
      <c r="C243" s="10" t="s">
        <v>137</v>
      </c>
      <c r="D243" s="8" t="s">
        <v>126</v>
      </c>
      <c r="E243" s="7">
        <f>VLOOKUP(G243,T.Thuy!$B$6:$X$28,23,FALSE)</f>
        <v>22114200</v>
      </c>
      <c r="F243" s="117" t="s">
        <v>537</v>
      </c>
      <c r="G243" s="9">
        <v>2882</v>
      </c>
      <c r="H243" s="8" t="s">
        <v>97</v>
      </c>
      <c r="K243" t="str">
        <f t="shared" si="2"/>
        <v>Vietco</v>
      </c>
    </row>
    <row r="244" spans="1:11" ht="18" customHeight="1" x14ac:dyDescent="0.25">
      <c r="A244" s="146">
        <v>20</v>
      </c>
      <c r="B244" s="8" t="s">
        <v>98</v>
      </c>
      <c r="C244" s="10" t="s">
        <v>127</v>
      </c>
      <c r="D244" s="8" t="s">
        <v>128</v>
      </c>
      <c r="E244" s="7">
        <f>VLOOKUP(G244,T.Thuy!$B$6:$X$28,23,FALSE)</f>
        <v>22114200</v>
      </c>
      <c r="F244" s="9" t="s">
        <v>537</v>
      </c>
      <c r="G244" s="9">
        <v>2914</v>
      </c>
      <c r="H244" s="8" t="s">
        <v>98</v>
      </c>
      <c r="K244" t="str">
        <f t="shared" si="2"/>
        <v>MB, Hả</v>
      </c>
    </row>
    <row r="245" spans="1:11" ht="18" customHeight="1" x14ac:dyDescent="0.25">
      <c r="A245" s="146">
        <v>21</v>
      </c>
      <c r="B245" s="8" t="s">
        <v>350</v>
      </c>
      <c r="C245" s="10" t="s">
        <v>348</v>
      </c>
      <c r="D245" s="8" t="s">
        <v>349</v>
      </c>
      <c r="E245" s="7">
        <f>VLOOKUP(G245,T.Thuy!$B$6:$X$28,23,FALSE)</f>
        <v>22019200</v>
      </c>
      <c r="F245" s="117" t="s">
        <v>537</v>
      </c>
      <c r="G245" s="9">
        <v>2158</v>
      </c>
      <c r="H245" s="8" t="s">
        <v>336</v>
      </c>
      <c r="K245" t="str">
        <f t="shared" si="2"/>
        <v>Vietin</v>
      </c>
    </row>
    <row r="246" spans="1:11" ht="18" customHeight="1" x14ac:dyDescent="0.25">
      <c r="A246" s="146">
        <v>22</v>
      </c>
      <c r="B246" s="8" t="s">
        <v>131</v>
      </c>
      <c r="C246" s="10" t="s">
        <v>129</v>
      </c>
      <c r="D246" s="8" t="s">
        <v>130</v>
      </c>
      <c r="E246" s="7">
        <f>VLOOKUP(G246,T.Thuy!$B$6:$X$28,23,FALSE)</f>
        <v>27566700</v>
      </c>
      <c r="F246" s="9" t="s">
        <v>537</v>
      </c>
      <c r="G246" s="9">
        <v>1407</v>
      </c>
      <c r="H246" s="8" t="s">
        <v>99</v>
      </c>
      <c r="K246" t="str">
        <f t="shared" si="2"/>
        <v>Vietin</v>
      </c>
    </row>
    <row r="247" spans="1:11" ht="18" customHeight="1" x14ac:dyDescent="0.25">
      <c r="A247" s="146">
        <v>23</v>
      </c>
      <c r="B247" s="4" t="s">
        <v>335</v>
      </c>
      <c r="C247" s="5" t="s">
        <v>346</v>
      </c>
      <c r="D247" s="4" t="s">
        <v>347</v>
      </c>
      <c r="E247" s="6">
        <f>VLOOKUP(G247,T.Thuy!$B$6:$X$28,23,FALSE)</f>
        <v>21564200</v>
      </c>
      <c r="F247" s="117" t="s">
        <v>537</v>
      </c>
      <c r="G247" s="3">
        <v>2880</v>
      </c>
      <c r="H247" s="4" t="s">
        <v>335</v>
      </c>
      <c r="K247" t="str">
        <f t="shared" si="2"/>
        <v>Agriba</v>
      </c>
    </row>
    <row r="248" spans="1:11" ht="21" customHeight="1" x14ac:dyDescent="0.3">
      <c r="A248" s="136"/>
      <c r="B248" s="173" t="s">
        <v>377</v>
      </c>
      <c r="C248" s="174"/>
      <c r="D248" s="175"/>
      <c r="E248" s="137">
        <f>SUM(E225:E247)</f>
        <v>745960200</v>
      </c>
      <c r="F248" s="136"/>
      <c r="G248" s="149"/>
      <c r="H248" s="149"/>
    </row>
    <row r="249" spans="1:11" ht="15.6" x14ac:dyDescent="0.3">
      <c r="B249" s="138"/>
      <c r="C249" s="138"/>
      <c r="D249" s="138"/>
      <c r="E249" s="139"/>
    </row>
    <row r="250" spans="1:11" ht="15" x14ac:dyDescent="0.3">
      <c r="A250" s="172" t="s">
        <v>378</v>
      </c>
      <c r="B250" s="172"/>
      <c r="C250" s="172"/>
      <c r="D250" s="172"/>
      <c r="E250" s="172"/>
      <c r="F250" s="172"/>
    </row>
    <row r="251" spans="1:11" ht="15.6" x14ac:dyDescent="0.3">
      <c r="A251" s="140"/>
      <c r="B251" s="140"/>
      <c r="C251" s="140"/>
      <c r="D251" s="140"/>
      <c r="E251" s="141"/>
      <c r="F251" s="140"/>
    </row>
    <row r="252" spans="1:11" ht="15.6" x14ac:dyDescent="0.3">
      <c r="B252" s="121"/>
      <c r="E252" s="142"/>
    </row>
    <row r="253" spans="1:11" ht="15.6" x14ac:dyDescent="0.3">
      <c r="A253" s="143"/>
      <c r="B253" s="150" t="s">
        <v>45</v>
      </c>
      <c r="D253" s="144" t="s">
        <v>47</v>
      </c>
      <c r="F253" s="144" t="s">
        <v>379</v>
      </c>
    </row>
    <row r="254" spans="1:11" ht="13.8" x14ac:dyDescent="0.25">
      <c r="A254" s="169"/>
      <c r="B254" s="169"/>
      <c r="C254" s="169"/>
      <c r="D254" s="169"/>
      <c r="E254" s="169"/>
      <c r="F254" s="169"/>
    </row>
    <row r="269" spans="1:5" ht="14.4" x14ac:dyDescent="0.3">
      <c r="A269" s="170" t="s">
        <v>363</v>
      </c>
      <c r="B269" s="170"/>
      <c r="E269" s="119"/>
    </row>
    <row r="270" spans="1:5" ht="14.4" x14ac:dyDescent="0.3">
      <c r="A270" s="120"/>
      <c r="B270" s="121"/>
      <c r="E270" s="119"/>
    </row>
    <row r="271" spans="1:5" ht="14.4" x14ac:dyDescent="0.3">
      <c r="A271" s="122" t="s">
        <v>364</v>
      </c>
      <c r="B271" s="121"/>
      <c r="E271" s="119"/>
    </row>
    <row r="272" spans="1:5" ht="14.4" x14ac:dyDescent="0.3">
      <c r="B272" s="121"/>
      <c r="E272" s="119"/>
    </row>
    <row r="273" spans="1:6" ht="14.4" x14ac:dyDescent="0.3">
      <c r="B273" s="121"/>
      <c r="E273" s="119"/>
    </row>
    <row r="274" spans="1:6" ht="14.4" x14ac:dyDescent="0.3">
      <c r="B274" s="121"/>
      <c r="E274" s="119"/>
    </row>
    <row r="275" spans="1:6" ht="14.4" x14ac:dyDescent="0.3">
      <c r="B275" s="121"/>
      <c r="E275" s="123"/>
    </row>
    <row r="276" spans="1:6" ht="21" x14ac:dyDescent="0.4">
      <c r="A276" s="171" t="s">
        <v>365</v>
      </c>
      <c r="B276" s="171"/>
      <c r="C276" s="171"/>
      <c r="D276" s="171"/>
      <c r="E276" s="171"/>
      <c r="F276" s="171"/>
    </row>
    <row r="277" spans="1:6" ht="14.4" x14ac:dyDescent="0.3">
      <c r="B277" s="121"/>
      <c r="E277" s="124"/>
    </row>
    <row r="278" spans="1:6" ht="13.8" x14ac:dyDescent="0.25">
      <c r="B278" s="121"/>
      <c r="E278" s="125" t="s">
        <v>366</v>
      </c>
    </row>
    <row r="279" spans="1:6" ht="13.8" x14ac:dyDescent="0.25">
      <c r="A279" s="126" t="s">
        <v>429</v>
      </c>
      <c r="B279" s="121"/>
      <c r="E279" s="125" t="s">
        <v>367</v>
      </c>
    </row>
    <row r="280" spans="1:6" ht="14.4" x14ac:dyDescent="0.3">
      <c r="A280" s="126" t="s">
        <v>433</v>
      </c>
      <c r="B280" s="121"/>
      <c r="E280" s="124"/>
    </row>
    <row r="281" spans="1:6" ht="14.4" x14ac:dyDescent="0.3">
      <c r="A281" s="126" t="s">
        <v>430</v>
      </c>
      <c r="B281" s="121"/>
      <c r="E281" s="124"/>
    </row>
    <row r="282" spans="1:6" ht="14.4" x14ac:dyDescent="0.3">
      <c r="A282" s="126" t="s">
        <v>431</v>
      </c>
      <c r="B282" s="121"/>
      <c r="E282" s="124"/>
    </row>
    <row r="283" spans="1:6" ht="14.4" x14ac:dyDescent="0.3">
      <c r="A283" s="126" t="s">
        <v>432</v>
      </c>
      <c r="B283" s="121"/>
      <c r="E283" s="124"/>
    </row>
    <row r="284" spans="1:6" ht="15.6" x14ac:dyDescent="0.3">
      <c r="A284" s="127" t="s">
        <v>538</v>
      </c>
      <c r="B284" s="128"/>
      <c r="D284" s="129"/>
      <c r="E284" s="123"/>
    </row>
    <row r="285" spans="1:6" ht="14.4" x14ac:dyDescent="0.3">
      <c r="A285" s="126"/>
      <c r="B285" s="128"/>
      <c r="D285" s="129"/>
      <c r="E285" s="123"/>
    </row>
    <row r="286" spans="1:6" ht="13.8" x14ac:dyDescent="0.25">
      <c r="A286" s="126" t="s">
        <v>493</v>
      </c>
      <c r="B286" s="130"/>
      <c r="D286" s="129"/>
      <c r="E286" s="131"/>
    </row>
    <row r="287" spans="1:6" ht="14.4" x14ac:dyDescent="0.3">
      <c r="A287" s="126" t="s">
        <v>494</v>
      </c>
      <c r="B287" s="128"/>
      <c r="D287" s="129"/>
      <c r="E287" s="123"/>
    </row>
    <row r="288" spans="1:6" ht="15.6" x14ac:dyDescent="0.3">
      <c r="A288" s="127" t="s">
        <v>495</v>
      </c>
      <c r="B288" s="128"/>
      <c r="D288" s="129"/>
      <c r="E288" s="123"/>
    </row>
    <row r="289" spans="1:11" ht="14.4" x14ac:dyDescent="0.3">
      <c r="A289" s="126"/>
      <c r="B289" s="128"/>
      <c r="D289" s="129"/>
      <c r="E289" s="123"/>
    </row>
    <row r="290" spans="1:11" ht="14.4" x14ac:dyDescent="0.3">
      <c r="A290" s="132"/>
      <c r="B290" s="133"/>
      <c r="D290" s="134"/>
      <c r="E290" s="123"/>
    </row>
    <row r="291" spans="1:11" ht="13.8" x14ac:dyDescent="0.25">
      <c r="A291" s="147" t="s">
        <v>369</v>
      </c>
      <c r="B291" s="147" t="s">
        <v>370</v>
      </c>
      <c r="C291" s="147" t="s">
        <v>371</v>
      </c>
      <c r="D291" s="147" t="s">
        <v>372</v>
      </c>
      <c r="E291" s="148" t="s">
        <v>373</v>
      </c>
      <c r="F291" s="147" t="s">
        <v>374</v>
      </c>
      <c r="G291" s="147" t="s">
        <v>375</v>
      </c>
      <c r="H291" s="147" t="s">
        <v>376</v>
      </c>
    </row>
    <row r="292" spans="1:11" ht="18" customHeight="1" x14ac:dyDescent="0.25">
      <c r="A292" s="145">
        <v>1</v>
      </c>
      <c r="B292" s="8" t="s">
        <v>156</v>
      </c>
      <c r="C292" s="10" t="s">
        <v>154</v>
      </c>
      <c r="D292" s="8" t="s">
        <v>155</v>
      </c>
      <c r="E292" s="6">
        <f>VLOOKUP(G292,Aqua!$B$6:$V$35,21,FALSE)</f>
        <v>73965900</v>
      </c>
      <c r="F292" s="159" t="s">
        <v>525</v>
      </c>
      <c r="G292" s="3">
        <v>2412</v>
      </c>
      <c r="H292" s="4" t="s">
        <v>150</v>
      </c>
      <c r="K292" t="str">
        <f>LEFT(D292,6)</f>
        <v>Techco</v>
      </c>
    </row>
    <row r="293" spans="1:11" ht="18" customHeight="1" x14ac:dyDescent="0.25">
      <c r="A293" s="166"/>
      <c r="B293" s="8"/>
      <c r="C293" s="10"/>
      <c r="D293" s="8"/>
      <c r="E293" s="6">
        <f>VLOOKUP(G293,Aqua!$B$6:$V$35,21,FALSE)</f>
        <v>23254839</v>
      </c>
      <c r="F293" s="159" t="s">
        <v>525</v>
      </c>
      <c r="G293" s="3">
        <v>1798</v>
      </c>
      <c r="H293" s="4" t="s">
        <v>549</v>
      </c>
      <c r="K293" t="str">
        <f t="shared" ref="K293:K320" si="3">LEFT(D293,6)</f>
        <v/>
      </c>
    </row>
    <row r="294" spans="1:11" ht="18" customHeight="1" x14ac:dyDescent="0.25">
      <c r="A294" s="146">
        <v>2</v>
      </c>
      <c r="B294" s="8" t="s">
        <v>158</v>
      </c>
      <c r="C294" s="10" t="s">
        <v>157</v>
      </c>
      <c r="D294" s="8" t="s">
        <v>79</v>
      </c>
      <c r="E294" s="7">
        <f>VLOOKUP(G294,Aqua!$B$6:$V$35,21,FALSE)</f>
        <v>19022903</v>
      </c>
      <c r="F294" s="160" t="s">
        <v>525</v>
      </c>
      <c r="G294" s="9">
        <v>2354</v>
      </c>
      <c r="H294" s="8" t="s">
        <v>151</v>
      </c>
      <c r="K294" t="str">
        <f t="shared" si="3"/>
        <v>Techco</v>
      </c>
    </row>
    <row r="295" spans="1:11" ht="18" customHeight="1" x14ac:dyDescent="0.25">
      <c r="A295" s="146">
        <v>4</v>
      </c>
      <c r="B295" s="8" t="s">
        <v>490</v>
      </c>
      <c r="C295" s="10" t="s">
        <v>496</v>
      </c>
      <c r="D295" s="8" t="s">
        <v>497</v>
      </c>
      <c r="E295" s="7">
        <f>VLOOKUP(G295,Aqua!$B$6:$V$35,21,FALSE)</f>
        <v>30324852</v>
      </c>
      <c r="F295" s="159" t="s">
        <v>525</v>
      </c>
      <c r="G295" s="9">
        <v>1913</v>
      </c>
      <c r="H295" s="8" t="s">
        <v>490</v>
      </c>
      <c r="K295" t="str">
        <f t="shared" si="3"/>
        <v xml:space="preserve">BIDV, </v>
      </c>
    </row>
    <row r="296" spans="1:11" ht="18" customHeight="1" x14ac:dyDescent="0.25">
      <c r="A296" s="146">
        <v>5</v>
      </c>
      <c r="B296" s="8" t="s">
        <v>327</v>
      </c>
      <c r="C296" s="10" t="s">
        <v>325</v>
      </c>
      <c r="D296" s="8" t="s">
        <v>326</v>
      </c>
      <c r="E296" s="7">
        <f>VLOOKUP(G296,Aqua!$B$6:$V$35,21,FALSE)</f>
        <v>14938480</v>
      </c>
      <c r="F296" s="160" t="s">
        <v>525</v>
      </c>
      <c r="G296" s="9">
        <v>2156</v>
      </c>
      <c r="H296" s="8" t="s">
        <v>249</v>
      </c>
      <c r="K296" t="str">
        <f t="shared" si="3"/>
        <v>MB Ban</v>
      </c>
    </row>
    <row r="297" spans="1:11" ht="18" customHeight="1" x14ac:dyDescent="0.25">
      <c r="A297" s="146"/>
      <c r="B297" s="8"/>
      <c r="C297" s="10"/>
      <c r="D297" s="8"/>
      <c r="E297" s="7">
        <f>VLOOKUP(G297,Aqua!$B$6:$V$35,21,FALSE)</f>
        <v>7370323</v>
      </c>
      <c r="F297" s="159" t="s">
        <v>525</v>
      </c>
      <c r="G297" s="9">
        <v>3056</v>
      </c>
      <c r="H297" s="8" t="s">
        <v>543</v>
      </c>
      <c r="K297" t="str">
        <f t="shared" si="3"/>
        <v/>
      </c>
    </row>
    <row r="298" spans="1:11" ht="18" customHeight="1" x14ac:dyDescent="0.25">
      <c r="A298" s="146"/>
      <c r="B298" s="8" t="s">
        <v>518</v>
      </c>
      <c r="C298" s="10" t="s">
        <v>523</v>
      </c>
      <c r="D298" s="8" t="s">
        <v>524</v>
      </c>
      <c r="E298" s="7">
        <f>VLOOKUP(G298,Aqua!$B$6:$V$35,21,FALSE)</f>
        <v>18275013</v>
      </c>
      <c r="F298" s="159" t="s">
        <v>525</v>
      </c>
      <c r="G298" s="9">
        <v>2766</v>
      </c>
      <c r="H298" s="8" t="s">
        <v>518</v>
      </c>
      <c r="K298" t="str">
        <f t="shared" si="3"/>
        <v>MB Ban</v>
      </c>
    </row>
    <row r="299" spans="1:11" ht="18" customHeight="1" x14ac:dyDescent="0.25">
      <c r="A299" s="146">
        <v>7</v>
      </c>
      <c r="B299" s="8" t="s">
        <v>498</v>
      </c>
      <c r="C299" s="10" t="s">
        <v>499</v>
      </c>
      <c r="D299" s="8" t="s">
        <v>298</v>
      </c>
      <c r="E299" s="7">
        <f>VLOOKUP(G299,Aqua!$B$6:$V$35,21,FALSE)</f>
        <v>62503400</v>
      </c>
      <c r="F299" s="160" t="s">
        <v>525</v>
      </c>
      <c r="G299" s="9">
        <v>1331</v>
      </c>
      <c r="H299" s="8" t="s">
        <v>473</v>
      </c>
      <c r="K299" t="str">
        <f t="shared" si="3"/>
        <v>Agriba</v>
      </c>
    </row>
    <row r="300" spans="1:11" ht="18" customHeight="1" x14ac:dyDescent="0.25">
      <c r="A300" s="146">
        <v>8</v>
      </c>
      <c r="B300" s="8" t="s">
        <v>313</v>
      </c>
      <c r="C300" s="10" t="s">
        <v>311</v>
      </c>
      <c r="D300" s="8" t="s">
        <v>312</v>
      </c>
      <c r="E300" s="7">
        <f>VLOOKUP(G300,Aqua!$B$6:$V$35,21,FALSE)</f>
        <v>40700980</v>
      </c>
      <c r="F300" s="159" t="s">
        <v>525</v>
      </c>
      <c r="G300" s="9" t="s">
        <v>250</v>
      </c>
      <c r="H300" s="8" t="s">
        <v>251</v>
      </c>
      <c r="K300" t="str">
        <f t="shared" si="3"/>
        <v>Agriba</v>
      </c>
    </row>
    <row r="301" spans="1:11" ht="18" customHeight="1" x14ac:dyDescent="0.25">
      <c r="A301" s="146"/>
      <c r="B301" s="8"/>
      <c r="C301" s="10"/>
      <c r="D301" s="8"/>
      <c r="E301" s="7">
        <f>VLOOKUP(G301,Aqua!$B$6:$V$35,21,FALSE)</f>
        <v>10376128</v>
      </c>
      <c r="F301" s="160" t="s">
        <v>525</v>
      </c>
      <c r="G301" s="9">
        <v>1997</v>
      </c>
      <c r="H301" s="8" t="s">
        <v>545</v>
      </c>
      <c r="K301" t="str">
        <f t="shared" si="3"/>
        <v/>
      </c>
    </row>
    <row r="302" spans="1:11" ht="18" customHeight="1" x14ac:dyDescent="0.25">
      <c r="A302" s="146">
        <v>9</v>
      </c>
      <c r="B302" s="8" t="s">
        <v>419</v>
      </c>
      <c r="C302" s="10" t="s">
        <v>420</v>
      </c>
      <c r="D302" s="8" t="s">
        <v>421</v>
      </c>
      <c r="E302" s="7">
        <f>VLOOKUP(G302,Aqua!$B$6:$V$35,21,FALSE)</f>
        <v>32135900</v>
      </c>
      <c r="F302" s="160" t="s">
        <v>525</v>
      </c>
      <c r="G302" s="9">
        <v>2284</v>
      </c>
      <c r="H302" s="8" t="s">
        <v>411</v>
      </c>
      <c r="K302" t="str">
        <f t="shared" si="3"/>
        <v>Techco</v>
      </c>
    </row>
    <row r="303" spans="1:11" ht="18" customHeight="1" x14ac:dyDescent="0.25">
      <c r="A303" s="146">
        <v>11</v>
      </c>
      <c r="B303" s="8" t="s">
        <v>474</v>
      </c>
      <c r="C303" s="10" t="s">
        <v>513</v>
      </c>
      <c r="D303" s="8" t="s">
        <v>514</v>
      </c>
      <c r="E303" s="7">
        <f>VLOOKUP(G303,Aqua!$B$6:$V$35,21,FALSE)</f>
        <v>28163400</v>
      </c>
      <c r="F303" s="159" t="s">
        <v>525</v>
      </c>
      <c r="G303" s="9">
        <v>2644</v>
      </c>
      <c r="H303" s="8" t="s">
        <v>474</v>
      </c>
      <c r="I303" s="158"/>
      <c r="K303" t="str">
        <f t="shared" si="3"/>
        <v>MB Ban</v>
      </c>
    </row>
    <row r="304" spans="1:11" ht="18" customHeight="1" x14ac:dyDescent="0.25">
      <c r="A304" s="146">
        <v>13</v>
      </c>
      <c r="B304" s="8" t="s">
        <v>491</v>
      </c>
      <c r="C304" s="10" t="s">
        <v>500</v>
      </c>
      <c r="D304" s="8" t="s">
        <v>501</v>
      </c>
      <c r="E304" s="7">
        <f>VLOOKUP(G304,Aqua!$B$6:$V$35,21,FALSE)</f>
        <v>24766700</v>
      </c>
      <c r="F304" s="160" t="s">
        <v>525</v>
      </c>
      <c r="G304" s="9">
        <v>2702</v>
      </c>
      <c r="H304" s="8" t="s">
        <v>491</v>
      </c>
      <c r="K304" t="str">
        <f t="shared" si="3"/>
        <v>Techco</v>
      </c>
    </row>
    <row r="305" spans="1:11" ht="18" customHeight="1" x14ac:dyDescent="0.25">
      <c r="A305" s="146">
        <v>14</v>
      </c>
      <c r="B305" s="8" t="s">
        <v>316</v>
      </c>
      <c r="C305" s="10" t="s">
        <v>314</v>
      </c>
      <c r="D305" s="8" t="s">
        <v>315</v>
      </c>
      <c r="E305" s="7">
        <f>VLOOKUP(G305,Aqua!$B$6:$V$35,21,FALSE)</f>
        <v>19814200</v>
      </c>
      <c r="F305" s="159" t="s">
        <v>525</v>
      </c>
      <c r="G305" s="9">
        <v>2805</v>
      </c>
      <c r="H305" s="8" t="s">
        <v>252</v>
      </c>
      <c r="K305" t="str">
        <f t="shared" si="3"/>
        <v>Agriba</v>
      </c>
    </row>
    <row r="306" spans="1:11" ht="18" customHeight="1" x14ac:dyDescent="0.25">
      <c r="A306" s="146">
        <v>15</v>
      </c>
      <c r="B306" s="8" t="s">
        <v>135</v>
      </c>
      <c r="C306" s="10" t="s">
        <v>133</v>
      </c>
      <c r="D306" s="8" t="s">
        <v>134</v>
      </c>
      <c r="E306" s="7">
        <f>VLOOKUP(G306,Aqua!$B$6:$V$35,21,FALSE)</f>
        <v>13136780</v>
      </c>
      <c r="F306" s="160" t="s">
        <v>525</v>
      </c>
      <c r="G306" s="9">
        <v>2899</v>
      </c>
      <c r="H306" s="8" t="s">
        <v>132</v>
      </c>
      <c r="K306" t="str">
        <f t="shared" si="3"/>
        <v>Vietco</v>
      </c>
    </row>
    <row r="307" spans="1:11" ht="18" customHeight="1" x14ac:dyDescent="0.25">
      <c r="A307" s="146">
        <v>16</v>
      </c>
      <c r="B307" s="8" t="s">
        <v>476</v>
      </c>
      <c r="C307" s="10" t="s">
        <v>502</v>
      </c>
      <c r="D307" s="8" t="s">
        <v>503</v>
      </c>
      <c r="E307" s="7">
        <f>VLOOKUP(G307,Aqua!$B$6:$V$35,21,FALSE)</f>
        <v>19814200</v>
      </c>
      <c r="F307" s="159" t="s">
        <v>525</v>
      </c>
      <c r="G307" s="9">
        <v>2919</v>
      </c>
      <c r="H307" s="8" t="s">
        <v>476</v>
      </c>
      <c r="K307" t="str">
        <f t="shared" si="3"/>
        <v>Techco</v>
      </c>
    </row>
    <row r="308" spans="1:11" ht="18" customHeight="1" x14ac:dyDescent="0.25">
      <c r="A308" s="146">
        <v>17</v>
      </c>
      <c r="B308" s="8" t="s">
        <v>412</v>
      </c>
      <c r="C308" s="10" t="s">
        <v>422</v>
      </c>
      <c r="D308" s="8" t="s">
        <v>423</v>
      </c>
      <c r="E308" s="7">
        <f>VLOOKUP(G308,Aqua!$B$6:$V$35,21,FALSE)</f>
        <v>19814200</v>
      </c>
      <c r="F308" s="160" t="s">
        <v>525</v>
      </c>
      <c r="G308" s="9">
        <v>2931</v>
      </c>
      <c r="H308" s="8" t="s">
        <v>412</v>
      </c>
      <c r="K308" t="str">
        <f t="shared" si="3"/>
        <v xml:space="preserve">BIDV, </v>
      </c>
    </row>
    <row r="309" spans="1:11" ht="18" customHeight="1" x14ac:dyDescent="0.25">
      <c r="A309" s="146">
        <v>18</v>
      </c>
      <c r="B309" s="8" t="s">
        <v>164</v>
      </c>
      <c r="C309" s="10" t="s">
        <v>162</v>
      </c>
      <c r="D309" s="8" t="s">
        <v>163</v>
      </c>
      <c r="E309" s="7">
        <f>VLOOKUP(G309,Aqua!$B$6:$V$35,21,FALSE)</f>
        <v>6387098</v>
      </c>
      <c r="F309" s="159" t="s">
        <v>525</v>
      </c>
      <c r="G309" s="9">
        <v>3031</v>
      </c>
      <c r="H309" s="8" t="s">
        <v>153</v>
      </c>
      <c r="K309" t="str">
        <f t="shared" si="3"/>
        <v>ACB, T</v>
      </c>
    </row>
    <row r="310" spans="1:11" ht="18" customHeight="1" x14ac:dyDescent="0.25">
      <c r="A310" s="146">
        <v>19</v>
      </c>
      <c r="B310" s="8" t="s">
        <v>324</v>
      </c>
      <c r="C310" s="10" t="s">
        <v>322</v>
      </c>
      <c r="D310" s="8" t="s">
        <v>323</v>
      </c>
      <c r="E310" s="7">
        <f>VLOOKUP(G310,Aqua!$B$6:$V$35,21,FALSE)</f>
        <v>6387098</v>
      </c>
      <c r="F310" s="160" t="s">
        <v>525</v>
      </c>
      <c r="G310" s="9">
        <v>2991</v>
      </c>
      <c r="H310" s="8" t="s">
        <v>255</v>
      </c>
      <c r="K310" t="str">
        <f t="shared" si="3"/>
        <v>Agriba</v>
      </c>
    </row>
    <row r="311" spans="1:11" ht="18" customHeight="1" x14ac:dyDescent="0.25">
      <c r="A311" s="146">
        <v>21</v>
      </c>
      <c r="B311" s="8" t="s">
        <v>504</v>
      </c>
      <c r="C311" s="10" t="s">
        <v>505</v>
      </c>
      <c r="D311" s="8" t="s">
        <v>506</v>
      </c>
      <c r="E311" s="7">
        <f>VLOOKUP(G311,Aqua!$B$6:$V$35,21,FALSE)</f>
        <v>24766700</v>
      </c>
      <c r="F311" s="159" t="s">
        <v>525</v>
      </c>
      <c r="G311" s="9">
        <v>2841</v>
      </c>
      <c r="H311" s="8" t="s">
        <v>477</v>
      </c>
      <c r="K311" t="str">
        <f t="shared" si="3"/>
        <v>Agriba</v>
      </c>
    </row>
    <row r="312" spans="1:11" ht="18" customHeight="1" x14ac:dyDescent="0.25">
      <c r="A312" s="146">
        <v>22</v>
      </c>
      <c r="B312" s="8" t="s">
        <v>321</v>
      </c>
      <c r="C312" s="10" t="s">
        <v>319</v>
      </c>
      <c r="D312" s="8" t="s">
        <v>320</v>
      </c>
      <c r="E312" s="7">
        <f>VLOOKUP(G312,Aqua!$B$6:$V$35,21,FALSE)</f>
        <v>16846458</v>
      </c>
      <c r="F312" s="160" t="s">
        <v>525</v>
      </c>
      <c r="G312" s="9">
        <v>2836</v>
      </c>
      <c r="H312" s="8" t="s">
        <v>254</v>
      </c>
      <c r="K312" t="str">
        <f t="shared" si="3"/>
        <v>Eximba</v>
      </c>
    </row>
    <row r="313" spans="1:11" ht="18" customHeight="1" x14ac:dyDescent="0.25">
      <c r="A313" s="146"/>
      <c r="B313" s="8"/>
      <c r="C313" s="10"/>
      <c r="D313" s="8"/>
      <c r="E313" s="7">
        <f>VLOOKUP(G313,Aqua!$B$6:$V$35,21,FALSE)</f>
        <v>4451612</v>
      </c>
      <c r="F313" s="159" t="s">
        <v>525</v>
      </c>
      <c r="G313" s="9">
        <v>2951</v>
      </c>
      <c r="H313" s="8" t="s">
        <v>547</v>
      </c>
      <c r="K313" t="str">
        <f t="shared" si="3"/>
        <v/>
      </c>
    </row>
    <row r="314" spans="1:11" ht="18" customHeight="1" x14ac:dyDescent="0.25">
      <c r="A314" s="146">
        <v>23</v>
      </c>
      <c r="B314" s="8" t="s">
        <v>253</v>
      </c>
      <c r="C314" s="10" t="s">
        <v>317</v>
      </c>
      <c r="D314" s="8" t="s">
        <v>318</v>
      </c>
      <c r="E314" s="7">
        <f>VLOOKUP(G314,Aqua!$B$6:$V$35,21,FALSE)</f>
        <v>19814200</v>
      </c>
      <c r="F314" s="159" t="s">
        <v>525</v>
      </c>
      <c r="G314" s="9">
        <v>2465</v>
      </c>
      <c r="H314" s="8" t="s">
        <v>253</v>
      </c>
      <c r="K314" t="str">
        <f t="shared" si="3"/>
        <v>Vietin</v>
      </c>
    </row>
    <row r="315" spans="1:11" ht="18" customHeight="1" x14ac:dyDescent="0.25">
      <c r="A315" s="146">
        <v>25</v>
      </c>
      <c r="B315" s="8" t="s">
        <v>507</v>
      </c>
      <c r="C315" s="10" t="s">
        <v>508</v>
      </c>
      <c r="D315" s="8" t="s">
        <v>509</v>
      </c>
      <c r="E315" s="7">
        <f>VLOOKUP(G315,Aqua!$B$6:$V$35,21,FALSE)</f>
        <v>19814200</v>
      </c>
      <c r="F315" s="160" t="s">
        <v>525</v>
      </c>
      <c r="G315" s="9">
        <v>2806</v>
      </c>
      <c r="H315" s="8" t="s">
        <v>478</v>
      </c>
      <c r="K315" t="str">
        <f t="shared" si="3"/>
        <v>Techco</v>
      </c>
    </row>
    <row r="316" spans="1:11" ht="18" customHeight="1" x14ac:dyDescent="0.25">
      <c r="A316" s="146">
        <v>26</v>
      </c>
      <c r="B316" s="8" t="s">
        <v>161</v>
      </c>
      <c r="C316" s="10" t="s">
        <v>159</v>
      </c>
      <c r="D316" s="8" t="s">
        <v>160</v>
      </c>
      <c r="E316" s="7">
        <f>VLOOKUP(G316,Aqua!$B$6:$V$35,21,FALSE)</f>
        <v>9935484</v>
      </c>
      <c r="F316" s="159" t="s">
        <v>525</v>
      </c>
      <c r="G316" s="9">
        <v>1676</v>
      </c>
      <c r="H316" s="8" t="s">
        <v>152</v>
      </c>
      <c r="K316" t="str">
        <f t="shared" si="3"/>
        <v>Agriba</v>
      </c>
    </row>
    <row r="317" spans="1:11" ht="18" customHeight="1" x14ac:dyDescent="0.25">
      <c r="A317" s="165">
        <v>28</v>
      </c>
      <c r="B317" s="4" t="s">
        <v>510</v>
      </c>
      <c r="C317" s="5" t="s">
        <v>511</v>
      </c>
      <c r="D317" s="4" t="s">
        <v>512</v>
      </c>
      <c r="E317" s="7">
        <f>VLOOKUP(G317,Aqua!$B$6:$V$35,21,FALSE)</f>
        <v>15734442</v>
      </c>
      <c r="F317" s="160" t="s">
        <v>525</v>
      </c>
      <c r="G317" s="3">
        <v>2794</v>
      </c>
      <c r="H317" s="4" t="s">
        <v>492</v>
      </c>
      <c r="K317" t="str">
        <f t="shared" si="3"/>
        <v>Vietin</v>
      </c>
    </row>
    <row r="318" spans="1:11" ht="18" customHeight="1" x14ac:dyDescent="0.25">
      <c r="A318" s="165"/>
      <c r="B318" s="4" t="s">
        <v>519</v>
      </c>
      <c r="C318" s="5" t="s">
        <v>526</v>
      </c>
      <c r="D318" s="4" t="s">
        <v>527</v>
      </c>
      <c r="E318" s="7">
        <f>VLOOKUP(G318,Aqua!$B$6:$V$35,21,FALSE)</f>
        <v>8878716</v>
      </c>
      <c r="F318" s="159" t="s">
        <v>525</v>
      </c>
      <c r="G318" s="3">
        <v>2648</v>
      </c>
      <c r="H318" s="4" t="s">
        <v>519</v>
      </c>
      <c r="K318" t="str">
        <f t="shared" si="3"/>
        <v>MB Ban</v>
      </c>
    </row>
    <row r="319" spans="1:11" ht="18" customHeight="1" x14ac:dyDescent="0.25">
      <c r="A319" s="161"/>
      <c r="B319" s="162" t="s">
        <v>520</v>
      </c>
      <c r="C319" s="163" t="s">
        <v>528</v>
      </c>
      <c r="D319" s="162" t="s">
        <v>529</v>
      </c>
      <c r="E319" s="6">
        <f>VLOOKUP(G319,T.tap!$B$156:$T$156,19,FALSE)</f>
        <v>3201298</v>
      </c>
      <c r="F319" s="160" t="s">
        <v>525</v>
      </c>
      <c r="G319" s="164">
        <v>3053</v>
      </c>
      <c r="H319" s="162" t="s">
        <v>520</v>
      </c>
      <c r="K319" t="str">
        <f t="shared" si="3"/>
        <v>ACB, C</v>
      </c>
    </row>
    <row r="320" spans="1:11" ht="21" customHeight="1" x14ac:dyDescent="0.3">
      <c r="A320" s="136"/>
      <c r="B320" s="173" t="s">
        <v>377</v>
      </c>
      <c r="C320" s="174"/>
      <c r="D320" s="175"/>
      <c r="E320" s="137">
        <f>SUM(E292:E317)</f>
        <v>582515490</v>
      </c>
      <c r="F320" s="136"/>
      <c r="G320" s="149"/>
      <c r="H320" s="149"/>
      <c r="K320" t="str">
        <f t="shared" si="3"/>
        <v/>
      </c>
    </row>
    <row r="321" spans="1:6" ht="15.6" x14ac:dyDescent="0.3">
      <c r="B321" s="138"/>
      <c r="C321" s="138"/>
      <c r="D321" s="138"/>
      <c r="E321" s="139"/>
    </row>
    <row r="322" spans="1:6" ht="15" x14ac:dyDescent="0.3">
      <c r="A322" s="172" t="s">
        <v>378</v>
      </c>
      <c r="B322" s="172"/>
      <c r="C322" s="172"/>
      <c r="D322" s="172"/>
      <c r="E322" s="172"/>
      <c r="F322" s="172"/>
    </row>
    <row r="323" spans="1:6" ht="15.6" x14ac:dyDescent="0.3">
      <c r="A323" s="140"/>
      <c r="B323" s="140"/>
      <c r="C323" s="140"/>
      <c r="D323" s="140"/>
      <c r="E323" s="141"/>
      <c r="F323" s="140"/>
    </row>
    <row r="324" spans="1:6" ht="15.6" x14ac:dyDescent="0.3">
      <c r="B324" s="121"/>
      <c r="E324" s="142"/>
    </row>
    <row r="325" spans="1:6" ht="15.6" x14ac:dyDescent="0.3">
      <c r="A325" s="143"/>
      <c r="B325" s="150" t="s">
        <v>45</v>
      </c>
      <c r="D325" s="144" t="s">
        <v>47</v>
      </c>
      <c r="F325" s="144" t="s">
        <v>379</v>
      </c>
    </row>
    <row r="326" spans="1:6" ht="13.8" x14ac:dyDescent="0.25">
      <c r="A326" s="169"/>
      <c r="B326" s="169"/>
      <c r="C326" s="169"/>
      <c r="D326" s="169"/>
      <c r="E326" s="169"/>
      <c r="F326" s="169"/>
    </row>
  </sheetData>
  <mergeCells count="25">
    <mergeCell ref="A326:F326"/>
    <mergeCell ref="A202:B202"/>
    <mergeCell ref="A209:F209"/>
    <mergeCell ref="A250:F250"/>
    <mergeCell ref="A254:F254"/>
    <mergeCell ref="A269:B269"/>
    <mergeCell ref="A276:F276"/>
    <mergeCell ref="A322:F322"/>
    <mergeCell ref="B248:D248"/>
    <mergeCell ref="B320:D320"/>
    <mergeCell ref="A184:F184"/>
    <mergeCell ref="A69:B69"/>
    <mergeCell ref="A76:F76"/>
    <mergeCell ref="A113:F113"/>
    <mergeCell ref="A117:F117"/>
    <mergeCell ref="A134:B134"/>
    <mergeCell ref="A141:F141"/>
    <mergeCell ref="A180:F180"/>
    <mergeCell ref="B178:D178"/>
    <mergeCell ref="B111:D111"/>
    <mergeCell ref="A52:F52"/>
    <mergeCell ref="A1:B1"/>
    <mergeCell ref="A8:F8"/>
    <mergeCell ref="A48:F48"/>
    <mergeCell ref="B46:D46"/>
  </mergeCells>
  <phoneticPr fontId="2" type="noConversion"/>
  <printOptions horizontalCentered="1"/>
  <pageMargins left="0" right="0" top="0.5" bottom="0.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Bright</vt:lpstr>
      <vt:lpstr>Harmony</vt:lpstr>
      <vt:lpstr>Express</vt:lpstr>
      <vt:lpstr>T.Thuy</vt:lpstr>
      <vt:lpstr>Aqua</vt:lpstr>
      <vt:lpstr>T.tap</vt:lpstr>
      <vt:lpstr>CK</vt:lpstr>
      <vt:lpstr>Aqua!Print_Titles</vt:lpstr>
      <vt:lpstr>Bright!Print_Titles</vt:lpstr>
      <vt:lpstr>Express!Print_Titles</vt:lpstr>
      <vt:lpstr>T.Thuy!Print_Titles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Hoài Bắc Nguyễn</cp:lastModifiedBy>
  <cp:lastPrinted>2026-03-13T07:04:58Z</cp:lastPrinted>
  <dcterms:created xsi:type="dcterms:W3CDTF">2009-02-06T09:37:18Z</dcterms:created>
  <dcterms:modified xsi:type="dcterms:W3CDTF">2026-04-17T09:49:34Z</dcterms:modified>
</cp:coreProperties>
</file>